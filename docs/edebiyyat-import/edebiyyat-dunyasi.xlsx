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suallar\edebiyyat-dunyasi\"/>
    </mc:Choice>
  </mc:AlternateContent>
  <xr:revisionPtr revIDLastSave="0" documentId="13_ncr:1_{3C9BC373-E784-4F82-8B8E-D33597D37C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stions" sheetId="1" r:id="rId1"/>
    <sheet name="Yoxlama" sheetId="2" r:id="rId2"/>
    <sheet name="Təlimat" sheetId="3" r:id="rId3"/>
  </sheets>
  <calcPr calcId="181029"/>
</workbook>
</file>

<file path=xl/calcChain.xml><?xml version="1.0" encoding="utf-8"?>
<calcChain xmlns="http://schemas.openxmlformats.org/spreadsheetml/2006/main">
  <c r="B25" i="2" l="1"/>
  <c r="B24" i="2"/>
  <c r="B23" i="2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</calcChain>
</file>

<file path=xl/sharedStrings.xml><?xml version="1.0" encoding="utf-8"?>
<sst xmlns="http://schemas.openxmlformats.org/spreadsheetml/2006/main" count="2148" uniqueCount="1107">
  <si>
    <t>ID</t>
  </si>
  <si>
    <t>Sual</t>
  </si>
  <si>
    <t>A</t>
  </si>
  <si>
    <t>B</t>
  </si>
  <si>
    <t>C</t>
  </si>
  <si>
    <t>D</t>
  </si>
  <si>
    <t>Düzgün cavab</t>
  </si>
  <si>
    <t>Çətinlik</t>
  </si>
  <si>
    <t>Mövzu</t>
  </si>
  <si>
    <t>İzah</t>
  </si>
  <si>
    <t>Şəkil faylı</t>
  </si>
  <si>
    <t>Şəkil alt mətni</t>
  </si>
  <si>
    <t>Şəkil mənbəyi</t>
  </si>
  <si>
    <t>Şəkil lisenziyası</t>
  </si>
  <si>
    <t>Sual mənbəyi</t>
  </si>
  <si>
    <t>Status</t>
  </si>
  <si>
    <t>Qeyd</t>
  </si>
  <si>
    <t>LIT-001</t>
  </si>
  <si>
    <t>"Xəmsə" kimin əsəridir?</t>
  </si>
  <si>
    <t>Məhəmməd Füzuli</t>
  </si>
  <si>
    <t>Nəsimi</t>
  </si>
  <si>
    <t>Nizami Gəncəvi</t>
  </si>
  <si>
    <t>Xaqani Şirvani</t>
  </si>
  <si>
    <t>Easy</t>
  </si>
  <si>
    <t>Klassik poeziya</t>
  </si>
  <si>
    <t>"Xəmsə" Nizami Gəncəvinin poemalarından ibarət məşhur toplusudur.</t>
  </si>
  <si>
    <t>https://az.wikipedia.org/wiki/Nizami_G%C9%99nc%C9%99vi</t>
  </si>
  <si>
    <t>Təsdiqlənib</t>
  </si>
  <si>
    <t>Yoxlandı 16.09.2026: mənbədə "Xəmsə" ifadəsi ilə cavab təsdiqləndi.</t>
  </si>
  <si>
    <t>LIT-002</t>
  </si>
  <si>
    <t>Azərbaycan türkcəsində "Leyli və Məcnun" poemasını yazan klassik şair kimdir?</t>
  </si>
  <si>
    <t>Molla Pənah Vaqif</t>
  </si>
  <si>
    <t>Şah İsmayıl Xətai</t>
  </si>
  <si>
    <t>Füzuli "Leyli və Məcnun"u ana dilində yazmışdır; Nizaminin eyniadlı poeması fars dilindədir.</t>
  </si>
  <si>
    <t>https://az.wikipedia.org/wiki/M%C9%99h%C9%99mm%C9%99d_F%C3%BCzuli</t>
  </si>
  <si>
    <t>Yoxlandı 16.09.2026: mənbədə "Leyli və Məcnun" ifadəsi ilə cavab təsdiqləndi.</t>
  </si>
  <si>
    <t>LIT-003</t>
  </si>
  <si>
    <t>"Ölülər" pyesinin müəllifi kimdir?</t>
  </si>
  <si>
    <t>Cəfər Cabbarlı</t>
  </si>
  <si>
    <t>Əbdürrəhim bəy Haqverdiyev</t>
  </si>
  <si>
    <t>Nəcəf bəy Vəzirov</t>
  </si>
  <si>
    <t>Cəlil Məmmədquluzadə</t>
  </si>
  <si>
    <t>Dramaturgiya</t>
  </si>
  <si>
    <t>"Ölülər" Cəlil Məmmədquluzadənin məşhur komediyasıdır.</t>
  </si>
  <si>
    <t>https://az.wikipedia.org/wiki/C%C9%99lil_M%C9%99mm%C9%99dquluzad%C9%99</t>
  </si>
  <si>
    <t>Yoxlandı 16.09.2026: mənbədə "Ölülər" ifadəsi ilə cavab təsdiqləndi.</t>
  </si>
  <si>
    <t>LIT-004</t>
  </si>
  <si>
    <t>"Hophopnamə" kimin şeirlər toplusudur?</t>
  </si>
  <si>
    <t>Seyid Əzim Şirvani</t>
  </si>
  <si>
    <t>Məhəmməd Hadi</t>
  </si>
  <si>
    <t>Abbas Səhhət</t>
  </si>
  <si>
    <t>Mirzə Ələkbər Sabir</t>
  </si>
  <si>
    <t>Satira</t>
  </si>
  <si>
    <t>Sabirin satirik şeirləri "Hophopnamə" adı ilə toplanmışdır.</t>
  </si>
  <si>
    <t>https://az.wikipedia.org/wiki/Mirz%C9%99_%C6%8Fl%C9%99kb%C9%99r_Sabir</t>
  </si>
  <si>
    <t>Yoxlandı 16.09.2026: mənbədə "Hophopnamə" ifadəsi ilə cavab təsdiqləndi.</t>
  </si>
  <si>
    <t>LIT-005</t>
  </si>
  <si>
    <t>Qrafik portretdə təsvir olunan XIX–XX əsr satirik şairi kimdir?</t>
  </si>
  <si>
    <t>Portret</t>
  </si>
  <si>
    <t>Portretdə satirik şair Mirzə Ələkbər Sabir təsvir olunub.</t>
  </si>
  <si>
    <t>literature-001.webp</t>
  </si>
  <si>
    <t>Başında papaq olan, saqqallı kişinin qrafik portreti</t>
  </si>
  <si>
    <t>https://commons.wikimedia.org/wiki/File:Sabir.jpg</t>
  </si>
  <si>
    <t>Public domain (Wikimedia Commons)</t>
  </si>
  <si>
    <t>https://az.wikipedia.org/wiki/Mirz%C9%99_%C6%8Fl%C9%99kb%C9%99r_Sabir ; https://commons.wikimedia.org/wiki/File:Sabir.jpg</t>
  </si>
  <si>
    <t>Yoxlandı 16.09.2026: şəklin kimliyi Wikimedia Commons fayl təsvirində, məlumat az.wikipedia məqaləsində təsdiqləndi. Lisenziya Commons metaməlumatındandır.</t>
  </si>
  <si>
    <t>LIT-006</t>
  </si>
  <si>
    <t>"Sevil" pyesinin müəllifi kimdir?</t>
  </si>
  <si>
    <t>Hüseyn Cavid</t>
  </si>
  <si>
    <t>Səməd Vurğun</t>
  </si>
  <si>
    <t>Mirzə İbrahimov</t>
  </si>
  <si>
    <t>"Sevil" Cəfər Cabbarlının qadın azadlığına həsr olunmuş pyesidir.</t>
  </si>
  <si>
    <t>https://az.wikipedia.org/wiki/C%C9%99f%C9%99r_Cabbarl%C4%B1</t>
  </si>
  <si>
    <t>Yoxlandı 16.09.2026: mənbədə "Sevil" ifadəsi ilə cavab təsdiqləndi.</t>
  </si>
  <si>
    <t>LIT-007</t>
  </si>
  <si>
    <t>"Vaqif" mənzum dramını kim yazmışdır?</t>
  </si>
  <si>
    <t>Rəsul Rza</t>
  </si>
  <si>
    <t>Mikayıl Müşfiq</t>
  </si>
  <si>
    <t>"Vaqif" Səməd Vurğunun mənzum dramıdır.</t>
  </si>
  <si>
    <t>https://az.wikipedia.org/wiki/S%C9%99m%C9%99d_Vur%C4%9Fun</t>
  </si>
  <si>
    <t>Yoxlandı 16.09.2026: mənbədə "Vaqif" ifadəsi ilə cavab təsdiqləndi.</t>
  </si>
  <si>
    <t>LIT-008</t>
  </si>
  <si>
    <t>"Koroğlu" dastanında Koroğlunun əsl adı nədir?</t>
  </si>
  <si>
    <t>Eyvaz</t>
  </si>
  <si>
    <t>Rövşən</t>
  </si>
  <si>
    <t>Həmzə</t>
  </si>
  <si>
    <t>Dəmirçioğlu</t>
  </si>
  <si>
    <t>Folklor</t>
  </si>
  <si>
    <t>Dastana görə Koroğlunun əsl adı Rövşəndir.</t>
  </si>
  <si>
    <t>https://az.wikipedia.org/wiki/Koro%C4%9Flu_dastan%C4%B1</t>
  </si>
  <si>
    <t>Yoxlandı 16.09.2026: mənbədə "Rövşən" ifadəsi ilə cavab təsdiqləndi.</t>
  </si>
  <si>
    <t>LIT-009</t>
  </si>
  <si>
    <t>"Şeyx Sənan" faciəsinin müəllifi kimdir?</t>
  </si>
  <si>
    <t>Nəriman Nərimanov</t>
  </si>
  <si>
    <t>"Şeyx Sənan" Hüseyn Cavidin məşhur faciəsidir.</t>
  </si>
  <si>
    <t>https://az.wikipedia.org/wiki/H%C3%BCseyn_Cavid</t>
  </si>
  <si>
    <t>Yoxlandı 16.09.2026: mənbədə "Şeyx Sənan" ifadəsi ilə cavab təsdiqləndi.</t>
  </si>
  <si>
    <t>LIT-010</t>
  </si>
  <si>
    <t>Sepiya fotoşəkildə təsvir olunan romantik dramaturq kimdir?</t>
  </si>
  <si>
    <t>Abdulla Şaiq</t>
  </si>
  <si>
    <t>Əhməd Cavad</t>
  </si>
  <si>
    <t>Fotoşəkildə dramaturq Hüseyn Cavid təsvir olunub.</t>
  </si>
  <si>
    <t>literature-002.webp</t>
  </si>
  <si>
    <t>Papaqlı, eynəkli və qalstuklu kişinin sepiya fotoportreti</t>
  </si>
  <si>
    <t>https://commons.wikimedia.org/wiki/File:Huseyn_Javid.jpg</t>
  </si>
  <si>
    <t>https://az.wikipedia.org/wiki/H%C3%BCseyn_Cavid ; https://commons.wikimedia.org/wiki/File:Huseyn_Javid.jpg</t>
  </si>
  <si>
    <t>LIT-011</t>
  </si>
  <si>
    <t>"Kitabi-Dədə Qorqud"da Təpəgözü öldürən qəhrəman kimdir?</t>
  </si>
  <si>
    <t>Qazan xan</t>
  </si>
  <si>
    <t>Qaraca Çoban</t>
  </si>
  <si>
    <t>Beyrək</t>
  </si>
  <si>
    <t>Basat</t>
  </si>
  <si>
    <t>Təpəgözü Aruz Qocanın oğlu Basat öldürür.</t>
  </si>
  <si>
    <t>https://az.wikipedia.org/wiki/Kitabi-D%C9%99d%C9%99_Qorqud</t>
  </si>
  <si>
    <t>Yoxlandı 16.09.2026: mənbədə "Basat", "Təpəgöz" ifadəsi ilə cavab təsdiqləndi.</t>
  </si>
  <si>
    <t>LIT-012</t>
  </si>
  <si>
    <t>"Koroğlu" dastanında Koroğlunun atının adı nədir?</t>
  </si>
  <si>
    <t>Qırat</t>
  </si>
  <si>
    <t>Səmənd</t>
  </si>
  <si>
    <t>Bozat</t>
  </si>
  <si>
    <t>Ağtulpar</t>
  </si>
  <si>
    <t>Koroğlunun məşhur atı Qıratdır.</t>
  </si>
  <si>
    <t>https://az.wikipedia.org/wiki/Q%C4%B1rat</t>
  </si>
  <si>
    <t>Yoxlandı 16.09.2026: mənbədə "Koroğlu" ifadəsi ilə cavab təsdiqləndi.</t>
  </si>
  <si>
    <t>LIT-013</t>
  </si>
  <si>
    <t>"Əsli və Kərəm" dastanında Kərəmin sevdiyi qız kimdir?</t>
  </si>
  <si>
    <t>Nigar</t>
  </si>
  <si>
    <t>Əsli</t>
  </si>
  <si>
    <t>Telli</t>
  </si>
  <si>
    <t>Pəri</t>
  </si>
  <si>
    <t>Dastanın qəhrəmanları Kərəm və Əslidir.</t>
  </si>
  <si>
    <t>https://az.wikipedia.org/wiki/%C6%8Fsli_v%C9%99_K%C9%99r%C9%99m</t>
  </si>
  <si>
    <t>Yoxlandı 16.09.2026: mənbədə "Əsli" ifadəsi ilə cavab təsdiqləndi.</t>
  </si>
  <si>
    <t>LIT-014</t>
  </si>
  <si>
    <t>"Molla Nəsrəddin" satirik jurnalının redaktoru kim idi?</t>
  </si>
  <si>
    <t>Həsən bəy Zərdabi</t>
  </si>
  <si>
    <t>Üzeyir Hacıbəyli</t>
  </si>
  <si>
    <t>Mətbuat</t>
  </si>
  <si>
    <t>Jurnalın naşiri və redaktoru Cəlil Məmmədquluzadə idi.</t>
  </si>
  <si>
    <t>https://az.wikipedia.org/wiki/Molla_N%C9%99sr%C9%99ddin_(jurnal)</t>
  </si>
  <si>
    <t>Yoxlandı 16.09.2026: mənbədə "Məmmədquluzadə" ifadəsi ilə cavab təsdiqləndi.</t>
  </si>
  <si>
    <t>LIT-015</t>
  </si>
  <si>
    <t>1942-ci ildə çəkilmiş bu fotoşəkildəki şair kimdir?</t>
  </si>
  <si>
    <t>Süleyman Rüstəm</t>
  </si>
  <si>
    <t>Fotoşəkil 1942-ci ildə çəkilib, şair Səməd Vurğunu təsvir edir.</t>
  </si>
  <si>
    <t>literature-003.webp</t>
  </si>
  <si>
    <t>Qıvrım saçlı, gülümsəyən, köynəyində nişanlar olan kişinin ağ-qara fotoportreti</t>
  </si>
  <si>
    <t>https://commons.wikimedia.org/wiki/File:Samad_Vurgun_(1942).jpg</t>
  </si>
  <si>
    <t>https://az.wikipedia.org/wiki/S%C9%99m%C9%99d_Vur%C4%9Fun ; https://commons.wikimedia.org/wiki/File:Samad_Vurgun_(1942).jpg</t>
  </si>
  <si>
    <t>LIT-016</t>
  </si>
  <si>
    <t>Azərbaycan dilində ilk qəzet olan "Əkinçi"ni kim nəşr etmişdir?</t>
  </si>
  <si>
    <t>Mirzə Fətəli Axundzadə</t>
  </si>
  <si>
    <t>Əli bəy Hüseynzadə</t>
  </si>
  <si>
    <t>"Əkinçi" 1875-ci ildə Həsən bəy Zərdabi tərəfindən nəşr olunmuşdur.</t>
  </si>
  <si>
    <t>https://az.wikipedia.org/wiki/H%C9%99s%C9%99n_b%C9%99y_Z%C9%99rdabi</t>
  </si>
  <si>
    <t>Yoxlandı 16.09.2026: mənbədə "Əkinçi" ifadəsi ilə cavab təsdiqləndi.</t>
  </si>
  <si>
    <t>LIT-017</t>
  </si>
  <si>
    <t>Azərbaycan Respublikasının Dövlət Himninin sözlərinin müəllifi kimdir?</t>
  </si>
  <si>
    <t>XX əsr poeziyası</t>
  </si>
  <si>
    <t>Rəsmi mövqeyə görə himnin sözləri Əhməd Cavada, musiqisi Üzeyir Hacıbəyliyə məxsusdur (bəzi mənbələrdə Cəmo Cəbrayılbəylinin adı da çəkilir).</t>
  </si>
  <si>
    <t>https://az.wikipedia.org/wiki/Az%C9%99rbaycan_himni</t>
  </si>
  <si>
    <t>Yoxlandı 16.09.2026: mənbədə "Əhməd Cavad" ifadəsi ilə cavab təsdiqləndi.</t>
  </si>
  <si>
    <t>LIT-018</t>
  </si>
  <si>
    <t>"Arşın mal alan" musiqili komediyasının müəllifi kimdir?</t>
  </si>
  <si>
    <t>Zülfüqar Hacıbəyov</t>
  </si>
  <si>
    <t>Müslüm Maqomayev</t>
  </si>
  <si>
    <t>"Arşın mal alan" Üzeyir Hacıbəylinin musiqili komediyasıdır.</t>
  </si>
  <si>
    <t>https://az.wikipedia.org/wiki/Ar%C5%9F%C4%B1n_mal_alan_(operetta)</t>
  </si>
  <si>
    <t>Yoxlandı 16.09.2026: mənbədə "Hacıbəy" ifadəsi ilə cavab təsdiqləndi.</t>
  </si>
  <si>
    <t>LIT-019</t>
  </si>
  <si>
    <t>Bakıdakı Azərbaycan Ədəbiyyatı Muzeyi hansı şairin adını daşıyır?</t>
  </si>
  <si>
    <t>Ədəbi mühit</t>
  </si>
  <si>
    <t>Muzeyin tam adı Nizami Gəncəvi adına Azərbaycan Ədəbiyyatı Muzeyidir.</t>
  </si>
  <si>
    <t>https://az.wikipedia.org/wiki/Nizami_G%C9%99nc%C9%99vi_ad%C4%B1na_Milli_Az%C9%99rbaycan_%C6%8Fd%C9%99biyyat%C4%B1_Muzeyi</t>
  </si>
  <si>
    <t>Yoxlandı 16.09.2026: mənbədə "Nizami Gəncəvi adına" ifadəsi ilə cavab təsdiqləndi.</t>
  </si>
  <si>
    <t>LIT-020</t>
  </si>
  <si>
    <t>Təxminən 1920-ci ildə çəkilmiş bu fotoşəkildəki yazıçı kimdir?</t>
  </si>
  <si>
    <t>Firidun bəy Köçərli</t>
  </si>
  <si>
    <t>Fotoşəkildə Cəlil Məmmədquluzadə təsvir olunub (təqr. 1920).</t>
  </si>
  <si>
    <t>literature-004.webp</t>
  </si>
  <si>
    <t>Bığlı, dik yaxalı köynək və pencək geyinmiş kişinin arxiv fotoportreti</t>
  </si>
  <si>
    <t>https://commons.wikimedia.org/wiki/File:Jalil_Mammadguluzadeh,_c._1920.jpg</t>
  </si>
  <si>
    <t>https://az.wikipedia.org/wiki/C%C9%99lil_M%C9%99mm%C9%99dquluzad%C9%99 ; https://commons.wikimedia.org/wiki/File:Jalil_Mammadguluzadeh,_c._1920.jpg</t>
  </si>
  <si>
    <t>LIT-021</t>
  </si>
  <si>
    <t>"Tıq-tıq xanım" əsərinin müəllifi kimdir?</t>
  </si>
  <si>
    <t>Süleyman Sani Axundov</t>
  </si>
  <si>
    <t>Uşaq ədəbiyyatı</t>
  </si>
  <si>
    <t>"Tıq-tıq xanım" Abdulla Şaiqin uşaqlar üçün yazdığı əsərdir.</t>
  </si>
  <si>
    <t>https://az.wikipedia.org/wiki/Abdulla_%C5%9Eaiq</t>
  </si>
  <si>
    <t>Yoxlandı 16.09.2026: mənbədə "Tıq-tıq xanım" ifadəsi ilə cavab təsdiqləndi.</t>
  </si>
  <si>
    <t>LIT-022</t>
  </si>
  <si>
    <t>"Xətai" təxəllüsü ilə şeirlər yazan hökmdar kimdir?</t>
  </si>
  <si>
    <t>Şah İsmayıl Səfəvi</t>
  </si>
  <si>
    <t>Qazi Bürhanəddin</t>
  </si>
  <si>
    <t>Cahan şah</t>
  </si>
  <si>
    <t>Şah Təhmasib</t>
  </si>
  <si>
    <t>Səfəvi dövlətinin banisi I Şah İsmayıl "Xətai" təxəllüsü ilə yazırdı.</t>
  </si>
  <si>
    <t>https://az.wikipedia.org/wiki/I_%C4%B0smay%C4%B1l</t>
  </si>
  <si>
    <t>Yoxlandı 16.09.2026: mənbədə "Xətai" ifadəsi ilə cavab təsdiqləndi.</t>
  </si>
  <si>
    <t>LIT-023</t>
  </si>
  <si>
    <t>"Kitabi-Dədə Qorqud"da boyları qoşub söyləyən müdrik ozan kimdir?</t>
  </si>
  <si>
    <t>Bayandır xan</t>
  </si>
  <si>
    <t>Aruz Qoca</t>
  </si>
  <si>
    <t>Dədə Qorqud</t>
  </si>
  <si>
    <t>Boyların sonunda Dədə Qorqud gəlib boy boylayır, soy soylayır.</t>
  </si>
  <si>
    <t>https://az.wikipedia.org/wiki/D%C9%99d%C9%99_Qorqud</t>
  </si>
  <si>
    <t>Yoxlandı 16.09.2026: mənbədə "ozan" ifadəsi ilə cavab təsdiqləndi.</t>
  </si>
  <si>
    <t>LIT-024</t>
  </si>
  <si>
    <t>"Aşıq Qərib" dastanında Qəribin sevgilisi kimdir?</t>
  </si>
  <si>
    <t>Gülnar</t>
  </si>
  <si>
    <t>Şahsənəm</t>
  </si>
  <si>
    <t>Pərizad</t>
  </si>
  <si>
    <t>Dastanın əsas qəhrəmanları Aşıq Qərib və Şahsənəmdir.</t>
  </si>
  <si>
    <t>https://az.wikipedia.org/wiki/A%C5%9F%C4%B1q_Q%C9%99rib_dastan%C4%B1</t>
  </si>
  <si>
    <t>Yoxlandı 16.09.2026: mənbədə "Şahsənəm" ifadəsi ilə cavab təsdiqləndi.</t>
  </si>
  <si>
    <t>LIT-025</t>
  </si>
  <si>
    <t>Köhnə fotoşəkildə təsvir olunan XIX əsr şairəsi kimdir?</t>
  </si>
  <si>
    <t>Xurşidbanu Natəvan</t>
  </si>
  <si>
    <t>Heyran xanım</t>
  </si>
  <si>
    <t>Aşıq Pəri</t>
  </si>
  <si>
    <t>Məhsəti Gəncəvi</t>
  </si>
  <si>
    <t>Fotoşəkildə şairə Xurşidbanu Natəvan təsvir olunub.</t>
  </si>
  <si>
    <t>literature-005.webp</t>
  </si>
  <si>
    <t>Başına naxışlı örpək örtmüş qadının köhnə fotoşəkli</t>
  </si>
  <si>
    <t>https://commons.wikimedia.org/wiki/File:Natavan.jpg</t>
  </si>
  <si>
    <t>https://az.wikipedia.org/wiki/Xur%C5%9Fidbanu_Nat%C9%99van ; https://commons.wikimedia.org/wiki/File:Natavan.jpg</t>
  </si>
  <si>
    <t>LIT-026</t>
  </si>
  <si>
    <t>"Cırtdan" hansı janra aiddir?</t>
  </si>
  <si>
    <t>Mənzum dram</t>
  </si>
  <si>
    <t>Dastan</t>
  </si>
  <si>
    <t>Rübai</t>
  </si>
  <si>
    <t>Nağıl</t>
  </si>
  <si>
    <t>"Cırtdan" Azərbaycan xalq nağılıdır.</t>
  </si>
  <si>
    <t>https://az.wikipedia.org/wiki/C%C4%B1rtdan</t>
  </si>
  <si>
    <t>Yoxlandı 16.09.2026: mənbədə "nağıl" ifadəsi ilə cavab təsdiqləndi.</t>
  </si>
  <si>
    <t>LIT-027</t>
  </si>
  <si>
    <t>Laylı, bayatı və oxşama hansı ədəbiyyat sahəsinə aiddir?</t>
  </si>
  <si>
    <t>Şifahi xalq ədəbiyyatı</t>
  </si>
  <si>
    <t>Klassik divan ədəbiyyatı</t>
  </si>
  <si>
    <t>Maarifçi publisistika</t>
  </si>
  <si>
    <t>Sovet dövrü dramaturgiyası</t>
  </si>
  <si>
    <t>Bunlar folklorun lirik janrlarıdır.</t>
  </si>
  <si>
    <t>https://az.wikipedia.org/wiki/Bayat%C4%B1</t>
  </si>
  <si>
    <t>Yoxlandı 16.09.2026: mənbədə "xalq" ifadəsi ilə cavab təsdiqləndi.</t>
  </si>
  <si>
    <t>LIT-028</t>
  </si>
  <si>
    <t>Rübai neçə misradan ibarətdir?</t>
  </si>
  <si>
    <t>14</t>
  </si>
  <si>
    <t>2</t>
  </si>
  <si>
    <t>4</t>
  </si>
  <si>
    <t>5</t>
  </si>
  <si>
    <t>Ədəbiyyat nəzəriyyəsi</t>
  </si>
  <si>
    <t>Rübai dörd misralı şeir formasıdır.</t>
  </si>
  <si>
    <t>https://az.wikipedia.org/wiki/R%C3%BCbai</t>
  </si>
  <si>
    <t>Yoxlandı 16.09.2026: mənbədə "dörd misra" ifadəsi ilə cavab təsdiqləndi.</t>
  </si>
  <si>
    <t>LIT-029</t>
  </si>
  <si>
    <t>Beyt neçə misradan ibarətdir?</t>
  </si>
  <si>
    <t>6</t>
  </si>
  <si>
    <t>3</t>
  </si>
  <si>
    <t>Beyt iki misradan ibarət şeir vahididir.</t>
  </si>
  <si>
    <t>https://az.wikipedia.org/wiki/Beyt</t>
  </si>
  <si>
    <t>Yoxlandı 16.09.2026: mənbədə "2 misra" ifadəsi ilə cavab təsdiqləndi.</t>
  </si>
  <si>
    <t>LIT-030</t>
  </si>
  <si>
    <t>Bu rəsm hansı klassik şairi təsvir edir?</t>
  </si>
  <si>
    <t>Rəsm Əzim Əzimzadənin Füzuli portretidir (1914).</t>
  </si>
  <si>
    <t>literature-006.webp</t>
  </si>
  <si>
    <t>Ağ saqqallı, naxışlı papaqlı, xəz yaxalı xalat geyinmiş qoca kişinin rəngli rəsmi</t>
  </si>
  <si>
    <t>https://commons.wikimedia.org/wiki/File:Portrait_of_Azerbaijani_poet_Fuzuli_by_Azimzade.jpg</t>
  </si>
  <si>
    <t>https://az.wikipedia.org/wiki/M%C9%99h%C9%99mm%C9%99d_F%C3%BCzuli ; https://commons.wikimedia.org/wiki/File:Portrait_of_Azerbaijani_poet_Fuzuli_by_Azimzade.jpg</t>
  </si>
  <si>
    <t>LIT-031</t>
  </si>
  <si>
    <t>Qoşma hansı vəzndə yazılır?</t>
  </si>
  <si>
    <t>Heca vəzni</t>
  </si>
  <si>
    <t>Sərbəst vəzn</t>
  </si>
  <si>
    <t>Ağ şeir</t>
  </si>
  <si>
    <t>Əruz vəzni</t>
  </si>
  <si>
    <t>Qoşma aşıq şeirinin heca vəznində yazılan əsas formasıdır.</t>
  </si>
  <si>
    <t>https://az.wikipedia.org/wiki/Qo%C5%9Fma_(%C9%99d%C9%99biyyat)</t>
  </si>
  <si>
    <t>Yoxlandı 16.09.2026: mənbədə "heca" ifadəsi ilə cavab təsdiqləndi.</t>
  </si>
  <si>
    <t>LIT-032</t>
  </si>
  <si>
    <t>Nizami Gəncəvi hansı əsrdə yaşamışdır?</t>
  </si>
  <si>
    <t>XIV əsr</t>
  </si>
  <si>
    <t>XVI əsr</t>
  </si>
  <si>
    <t>X əsr</t>
  </si>
  <si>
    <t>XII əsr</t>
  </si>
  <si>
    <t>Nizami təxminən 1141–1209-cu illərdə yaşamışdır.</t>
  </si>
  <si>
    <t>Yoxlandı 16.09.2026: mənbədə "1141" ifadəsi ilə cavab təsdiqləndi.</t>
  </si>
  <si>
    <t>LIT-033</t>
  </si>
  <si>
    <t>Hazırcavab lətifələri ilə tanınan xalq obrazı kimdir?</t>
  </si>
  <si>
    <t>Hacı Qara</t>
  </si>
  <si>
    <t>Molla Nəsrəddin</t>
  </si>
  <si>
    <t>Məşədi İbad</t>
  </si>
  <si>
    <t>Cırtdan</t>
  </si>
  <si>
    <t>Molla Nəsrəddin lətifələrin məşhur qəhrəmanıdır.</t>
  </si>
  <si>
    <t>https://az.wikipedia.org/wiki/Molla_N%C9%99sr%C9%99ddin</t>
  </si>
  <si>
    <t>Yoxlandı 16.09.2026: mənbədə "lətifə" ifadəsi ilə cavab təsdiqləndi.</t>
  </si>
  <si>
    <t>LIT-034</t>
  </si>
  <si>
    <t>Aşıqların ifa zamanı çaldığı əsas musiqi aləti hansıdır?</t>
  </si>
  <si>
    <t>Saz</t>
  </si>
  <si>
    <t>Kamança</t>
  </si>
  <si>
    <t>Qanun</t>
  </si>
  <si>
    <t>Tar</t>
  </si>
  <si>
    <t>Aşıq sənəti sazla ifa olunur.</t>
  </si>
  <si>
    <t>https://az.wikipedia.org/wiki/Saz</t>
  </si>
  <si>
    <t>Yoxlandı 16.09.2026: mənbədə "aşıq" ifadəsi ilə cavab təsdiqləndi.</t>
  </si>
  <si>
    <t>LIT-035</t>
  </si>
  <si>
    <t>Şəkildəki məqbərə hansı şairin xatirəsinə ucaldılmışdır?</t>
  </si>
  <si>
    <t>Qətran Təbrizi</t>
  </si>
  <si>
    <t>Abidə</t>
  </si>
  <si>
    <t>Şəkildə Gəncədəki Nizami məqbərəsi təsvir olunub.</t>
  </si>
  <si>
    <t>literature-007.webp</t>
  </si>
  <si>
    <t>Açıq səma altında geniş meydanın ortasında yüksələn silindrik daş məqbərə</t>
  </si>
  <si>
    <t>https://commons.wikimedia.org/wiki/File:Nizami_Ganjavi_mausoleum_in_Ganja,_Azerbaijan_2.JPG</t>
  </si>
  <si>
    <t>CC BY-SA 3.0 — müəllif: Wertuose (https://creativecommons.org/licenses/by-sa/3.0)</t>
  </si>
  <si>
    <t>https://az.wikipedia.org/wiki/Nizami_m%C9%99qb%C9%99r%C9%99si ; https://commons.wikimedia.org/wiki/File:Nizami_Ganjavi_mausoleum_in_Ganja,_Azerbaijan_2.JPG</t>
  </si>
  <si>
    <t>LIT-036</t>
  </si>
  <si>
    <t>"Kitabi-Dədə Qorqud"da Dəli Domrul kiminlə vuruşmaq istəyir?</t>
  </si>
  <si>
    <t>Təpəgöz</t>
  </si>
  <si>
    <t>Əzrayıl</t>
  </si>
  <si>
    <t>Şöklü Məlik</t>
  </si>
  <si>
    <t>Dəli Domrul can alan Əzrayılla vuruşmağa çıxır.</t>
  </si>
  <si>
    <t>Yoxlandı 16.09.2026: mənbədə "Domrul", "Əzrayıl" ifadəsi ilə cavab təsdiqləndi.</t>
  </si>
  <si>
    <t>LIT-037</t>
  </si>
  <si>
    <t>"Məndə sığar iki cahan, mən bu cahana sığmazam" misrasının müəllifi kimdir?</t>
  </si>
  <si>
    <t>Bu məşhur misra Nəsiminin qəzəlindəndir.</t>
  </si>
  <si>
    <t>https://az.wikipedia.org/wiki/M%C9%99nd%C9%99_s%C4%B1%C4%9Far_iki_cahan%2C_m%C9%99n_bu_cahan%C9%99_s%C4%B1%C4%9Fmazam</t>
  </si>
  <si>
    <t>Yoxlandı 16.09.2026: mənbədə "Nəsimi" ifadəsi ilə cavab təsdiqləndi.</t>
  </si>
  <si>
    <t>LIT-038</t>
  </si>
  <si>
    <t>Xalq arasında "Xan qızı" adı ilə tanınan şairə kimdir?</t>
  </si>
  <si>
    <t>Qarabağ xanı Mehdiqulu xanın qızı Natəvan "Xan qızı" kimi tanınırdı.</t>
  </si>
  <si>
    <t>https://az.wikipedia.org/wiki/Xur%C5%9Fidbanu_Nat%C9%99van</t>
  </si>
  <si>
    <t>Yoxlandı 16.09.2026: mənbədə "Xan qızı" ifadəsi ilə cavab təsdiqləndi.</t>
  </si>
  <si>
    <t>LIT-039</t>
  </si>
  <si>
    <t>Hüseyn Cavid hansı şəhərdə anadan olmuşdur?</t>
  </si>
  <si>
    <t>Naxçıvan</t>
  </si>
  <si>
    <t>Gəncə</t>
  </si>
  <si>
    <t>Şuşa</t>
  </si>
  <si>
    <t>Şamaxı</t>
  </si>
  <si>
    <t>Hüseyn Cavid 1882-ci ildə Naxçıvanda doğulmuşdur.</t>
  </si>
  <si>
    <t>Yoxlandı 16.09.2026: mənbədə "Naxçıvan" ifadəsi ilə cavab təsdiqləndi.</t>
  </si>
  <si>
    <t>LIT-040</t>
  </si>
  <si>
    <t>Fotoşəkildə təsvir olunan XIX əsr maarifçi dramaturqu kimdir?</t>
  </si>
  <si>
    <t>Abbasqulu ağa Bakıxanov</t>
  </si>
  <si>
    <t>Mirzə Şəfi Vazeh</t>
  </si>
  <si>
    <t>Fotoşəkildə Mirzə Fətəli Axundzadə təsvir olunub.</t>
  </si>
  <si>
    <t>literature-008.webp</t>
  </si>
  <si>
    <t>Hündür papaqlı, ordenli uzun geyimdə dayanmış kişinin arxiv fotoşəkli</t>
  </si>
  <si>
    <t>https://commons.wikimedia.org/wiki/File:Mirz%C9%99_F%C9%99t%C9%99li_Axundov.jpg</t>
  </si>
  <si>
    <t>https://az.wikipedia.org/wiki/Mirz%C9%99_F%C9%99t%C9%99li_Axundov ; https://commons.wikimedia.org/wiki/File:Mirz%C9%99_F%C9%99t%C9%99li_Axundov.jpg</t>
  </si>
  <si>
    <t>LIT-041</t>
  </si>
  <si>
    <t>Səməd Vurğun hansı bölgədə anadan olmuşdur?</t>
  </si>
  <si>
    <t>Qazax</t>
  </si>
  <si>
    <t>Lənkəran</t>
  </si>
  <si>
    <t>Şəki</t>
  </si>
  <si>
    <t>Səməd Vurğun Qazax qəzasının Yuxarı Salahlı kəndində doğulmuşdur.</t>
  </si>
  <si>
    <t>Yoxlandı 16.09.2026: mənbədə "Qazax" ifadəsi ilə cavab təsdiqləndi.</t>
  </si>
  <si>
    <t>LIT-042</t>
  </si>
  <si>
    <t>Nizaminin "Xəmsə"si neçə poemadan ibarətdir?</t>
  </si>
  <si>
    <t>7</t>
  </si>
  <si>
    <t>9</t>
  </si>
  <si>
    <t>"Xəmsə" ərəbcə "beşlik" deməkdir və beş poemanı əhatə edir.</t>
  </si>
  <si>
    <t>https://az.wikipedia.org/wiki/X%C9%99ms%C9%99</t>
  </si>
  <si>
    <t>Yoxlandı 16.09.2026: mənbədə "beş" ifadəsi ilə cavab təsdiqləndi.</t>
  </si>
  <si>
    <t>LIT-043</t>
  </si>
  <si>
    <t>Qəzəldə şairin təxəllüsünün işləndiyi son beyt necə adlanır?</t>
  </si>
  <si>
    <t>Mətlə</t>
  </si>
  <si>
    <t>Rədif</t>
  </si>
  <si>
    <t>Məqtə</t>
  </si>
  <si>
    <t>Qafiyə</t>
  </si>
  <si>
    <t>Qəzəlin son beyti məqtə adlanır və adətən təxəllüs orada gəlir.</t>
  </si>
  <si>
    <t>https://az.wikipedia.org/wiki/Q%C9%99z%C9%99l</t>
  </si>
  <si>
    <t>Yoxlandı 16.09.2026: mənbədə "məqtə" ifadəsi ilə cavab təsdiqləndi.</t>
  </si>
  <si>
    <t>LIT-044</t>
  </si>
  <si>
    <t>Qısa, hikmətli və nəsildən-nəslə keçən xalq ifadələri necə adlanır?</t>
  </si>
  <si>
    <t>Oxşama</t>
  </si>
  <si>
    <t>Atalar sözü</t>
  </si>
  <si>
    <t>Tapmaca</t>
  </si>
  <si>
    <t>Bayatı</t>
  </si>
  <si>
    <t>Atalar sözü xalqın təcrübəsini yığcam şəkildə ifadə edir.</t>
  </si>
  <si>
    <t>https://az.wikipedia.org/wiki/Atalar_s%C3%B6z%C3%BC</t>
  </si>
  <si>
    <t>Yoxlandı 16.09.2026: mənbədə "atalar söz" ifadəsi ilə cavab təsdiqləndi.</t>
  </si>
  <si>
    <t>LIT-045</t>
  </si>
  <si>
    <t>Dəyirmi eynəkli bu fotoportretdəki XX əsr dramaturqu kimdir?</t>
  </si>
  <si>
    <t>Fotoşəkildə dramaturq Cəfər Cabbarlı təsvir olunub.</t>
  </si>
  <si>
    <t>literature-009.webp</t>
  </si>
  <si>
    <t>Dəyirmi eynəkli, geriyə daranmış saçlı kişinin sepiya fotoportreti</t>
  </si>
  <si>
    <t>https://commons.wikimedia.org/wiki/File:Jafar_Jabbarly.jpg</t>
  </si>
  <si>
    <t>https://az.wikipedia.org/wiki/C%C9%99f%C9%99r_Cabbarl%C4%B1 ; https://commons.wikimedia.org/wiki/File:Jafar_Jabbarly.jpg</t>
  </si>
  <si>
    <t>LIT-046</t>
  </si>
  <si>
    <t>Nizaminin "Xəmsə"sinin ilk poeması hansıdır?</t>
  </si>
  <si>
    <t>İsgəndərnamə</t>
  </si>
  <si>
    <t>Leyli və Məcnun</t>
  </si>
  <si>
    <t>Yeddi gözəl</t>
  </si>
  <si>
    <t>Sirlər xəzinəsi</t>
  </si>
  <si>
    <t>Medium</t>
  </si>
  <si>
    <t>"Xəmsə" "Sirlər xəzinəsi" ilə başlayır.</t>
  </si>
  <si>
    <t>Yoxlandı 16.09.2026: mənbədə "Sirlər xəzinəsi" ifadəsi ilə cavab təsdiqləndi.</t>
  </si>
  <si>
    <t>LIT-047</t>
  </si>
  <si>
    <t>Nizaminin "Yeddi gözəl" poemasının baş qəhrəmanı kimdir?</t>
  </si>
  <si>
    <t>Nuşirəvan</t>
  </si>
  <si>
    <t>Bəhram Gur</t>
  </si>
  <si>
    <t>Xosrov Pərviz</t>
  </si>
  <si>
    <t>İsgəndər</t>
  </si>
  <si>
    <t>Poema Sasani hökmdarı Bəhram Gurun həyatından bəhs edir.</t>
  </si>
  <si>
    <t>https://az.wikipedia.org/wiki/Yeddi_g%C3%B6z%C9%99l</t>
  </si>
  <si>
    <t>Yoxlandı 16.09.2026: mənbədə "Bəhram" ifadəsi ilə cavab təsdiqləndi.</t>
  </si>
  <si>
    <t>LIT-048</t>
  </si>
  <si>
    <t>Nizami Gəncəvi poemalarını əsasən hansı dildə yazmışdır?</t>
  </si>
  <si>
    <t>Fars dili</t>
  </si>
  <si>
    <t>Çağatay türkcəsi</t>
  </si>
  <si>
    <t>Ərəb dili</t>
  </si>
  <si>
    <t>Azərbaycan türkcəsi</t>
  </si>
  <si>
    <t>Nizaminin "Xəmsə"si fars dilində yazılmışdır.</t>
  </si>
  <si>
    <t>Yoxlandı 16.09.2026: mənbədə "fars" ifadəsi ilə cavab təsdiqləndi.</t>
  </si>
  <si>
    <t>LIT-049</t>
  </si>
  <si>
    <t>"Şikayətnamə" kimin əsəridir?</t>
  </si>
  <si>
    <t>"Şikayətnamə" Füzulinin məşhur mənsur məktubudur.</t>
  </si>
  <si>
    <t>Yoxlandı 16.09.2026: mənbədə "Şikayətnamə" ifadəsi ilə cavab təsdiqləndi.</t>
  </si>
  <si>
    <t>LIT-050</t>
  </si>
  <si>
    <t>Ağ-qara fotoportretdə təsvir olunan XX əsr şairi kimdir?</t>
  </si>
  <si>
    <t>Fotoşəkildə şair Əhməd Cavad təsvir olunub.</t>
  </si>
  <si>
    <t>literature-010.webp</t>
  </si>
  <si>
    <t>Sıx qara saçlı, qalstuklu gənc kişinin ağ-qara fotoportreti</t>
  </si>
  <si>
    <t>https://commons.wikimedia.org/wiki/File:Ahmad_Javad.jpg</t>
  </si>
  <si>
    <t>https://az.wikipedia.org/wiki/%C6%8Fhm%C9%99d_Cavad ; https://commons.wikimedia.org/wiki/File:Ahmad_Javad.jpg</t>
  </si>
  <si>
    <t>LIT-051</t>
  </si>
  <si>
    <t>Füzuli ömrünün böyük hissəsini bugünkü hansı ölkənin ərazisində keçirmişdir?</t>
  </si>
  <si>
    <t>İraq</t>
  </si>
  <si>
    <t>Türkiyə</t>
  </si>
  <si>
    <t>Suriya</t>
  </si>
  <si>
    <t>İran</t>
  </si>
  <si>
    <t>Füzuli Bağdad, Kərbəla və Hillə şəhərlərində yaşamışdır.</t>
  </si>
  <si>
    <t>Yoxlandı 16.09.2026: mənbədə "İraqdan kənara" ifadəsi ilə cavab təsdiqləndi.</t>
  </si>
  <si>
    <t>LIT-052</t>
  </si>
  <si>
    <t>Nəsimi hansı təriqətin nümayəndəsi idi?</t>
  </si>
  <si>
    <t>Nəqşibəndilik</t>
  </si>
  <si>
    <t>Hürufilik</t>
  </si>
  <si>
    <t>Mövləvilik</t>
  </si>
  <si>
    <t>Bəktaşilik</t>
  </si>
  <si>
    <t>Nəsimi hürufilik təliminin görkəmli təbliğatçısı idi.</t>
  </si>
  <si>
    <t>https://az.wikipedia.org/wiki/%C4%B0mad%C9%99ddin_N%C9%99simi</t>
  </si>
  <si>
    <t>Yoxlandı 16.09.2026: mənbədə "hürufi" ifadəsi ilə cavab təsdiqləndi.</t>
  </si>
  <si>
    <t>LIT-053</t>
  </si>
  <si>
    <t>"Dəhnamə" poemasının müəllifi kimdir?</t>
  </si>
  <si>
    <t>Kişvəri</t>
  </si>
  <si>
    <t>"Dəhnamə" Xətainin on məktubdan ibarət poemasıdır.</t>
  </si>
  <si>
    <t>Yoxlandı 16.09.2026: mənbədə "Dəhnamə" ifadəsi ilə cavab təsdiqləndi.</t>
  </si>
  <si>
    <t>LIT-054</t>
  </si>
  <si>
    <t>Molla Pənah Vaqif hansı Qarabağ xanının vəziri olmuşdur?</t>
  </si>
  <si>
    <t>Fətəli xan</t>
  </si>
  <si>
    <t>Pənahəli xan</t>
  </si>
  <si>
    <t>İbrahimxəlil xan</t>
  </si>
  <si>
    <t>Mehdiqulu xan</t>
  </si>
  <si>
    <t>Vaqif İbrahimxəlil xanın sarayında vəzir idi.</t>
  </si>
  <si>
    <t>https://az.wikipedia.org/wiki/Molla_P%C9%99nah_Vaqif</t>
  </si>
  <si>
    <t>Yoxlandı 16.09.2026: mənbədə "İbrahimxəlil" ifadəsi ilə cavab təsdiqləndi.</t>
  </si>
  <si>
    <t>LIT-055</t>
  </si>
  <si>
    <t>1910-cu ildə çəkilmiş fotoşəkildəki yazıçı kimdir?</t>
  </si>
  <si>
    <t>Yusif Vəzir Çəmənzəminli</t>
  </si>
  <si>
    <t>Fotoşəkil 1910-cu ildə çəkilib, Abdulla Şaiqi təsvir edir.</t>
  </si>
  <si>
    <t>literature-011.webp</t>
  </si>
  <si>
    <t>Kəpənək qalstuklu, burma bığlı kişinin köhnə fotoportreti</t>
  </si>
  <si>
    <t>https://commons.wikimedia.org/wiki/File:Abdulla_%C5%9Eaiq_(1910).jpg</t>
  </si>
  <si>
    <t>https://az.wikipedia.org/wiki/Abdulla_%C5%9Eaiq ; https://commons.wikimedia.org/wiki/File:Abdulla_%C5%9Eaiq_(1910).jpg</t>
  </si>
  <si>
    <t>LIT-056</t>
  </si>
  <si>
    <t>Molla Pənah Vaqifin qızlarından biri hansı şairin oğlu ilə ailə qurmuşdu?</t>
  </si>
  <si>
    <t>Aşıq Ələsgər</t>
  </si>
  <si>
    <t>Molla Vəli Vidadi</t>
  </si>
  <si>
    <t>Qasım bəy Zakir</t>
  </si>
  <si>
    <t>Xəstə Qasım</t>
  </si>
  <si>
    <t>Vaqifin qızı yaxın dostu Molla Vəli Vidadinin oğlu ilə ailə qurmuşdu.</t>
  </si>
  <si>
    <t>Yoxlandı 16.09.2026: mənbədə "Vidadi]]nin oğlu ilə ailə" ifadəsi ilə cavab təsdiqləndi.</t>
  </si>
  <si>
    <t>LIT-057</t>
  </si>
  <si>
    <t>Xurşidbanu Natəvanın Şuşada rəhbərlik etdiyi ədəbi məclis necə adlanırdı?</t>
  </si>
  <si>
    <t>Məclisi-üns</t>
  </si>
  <si>
    <t>Məclisi-fəramuşan</t>
  </si>
  <si>
    <t>Beytüs-səfa</t>
  </si>
  <si>
    <t>Divani-hikmət</t>
  </si>
  <si>
    <t>Natəvan "Məclisi-üns" ədəbi məclisinə başçılıq etmişdir.</t>
  </si>
  <si>
    <t>Yoxlandı 16.09.2026: mənbədə "Məclisi-üns" ifadəsi ilə cavab təsdiqləndi.</t>
  </si>
  <si>
    <t>LIT-058</t>
  </si>
  <si>
    <t>"Aldanmış kəvakib" povestinin müəllifi kimdir?</t>
  </si>
  <si>
    <t>Nəsr</t>
  </si>
  <si>
    <t>"Aldanmış kəvakib" Axundzadənin tarixi povestidir.</t>
  </si>
  <si>
    <t>https://az.wikipedia.org/wiki/Mirz%C9%99_F%C9%99t%C9%99li_Axundov</t>
  </si>
  <si>
    <t>Yoxlandı 16.09.2026: mənbədə "Aldanmış kəvakib" ifadəsi ilə cavab təsdiqləndi.</t>
  </si>
  <si>
    <t>LIT-059</t>
  </si>
  <si>
    <t>"Müsibəti-Fəxrəddin" faciəsinin müəllifi kimdir?</t>
  </si>
  <si>
    <t>"Müsibəti-Fəxrəddin" Azərbaycan dramaturgiyasında ilk faciələrdən sayılır.</t>
  </si>
  <si>
    <t>https://az.wikipedia.org/wiki/N%C9%99c%C9%99f_b%C9%99y_V%C9%99zirov</t>
  </si>
  <si>
    <t>Yoxlandı 16.09.2026: mənbədə "Müsibəti-Fəxrəddin" ifadəsi ilə cavab təsdiqləndi.</t>
  </si>
  <si>
    <t>LIT-060</t>
  </si>
  <si>
    <t>Fotoşəkildə təsvir olunan, eynəkli və hündür papaqlı dramaturq kimdir?</t>
  </si>
  <si>
    <t>Fotoşəkildə dramaturq Nəcəf bəy Vəzirov təsvir olunub.</t>
  </si>
  <si>
    <t>literature-012.webp</t>
  </si>
  <si>
    <t>Hündür papaqlı, eynəkli, ağ saqqallı kişinin fotoportreti</t>
  </si>
  <si>
    <t>https://commons.wikimedia.org/wiki/File:Najaf_bey_Vazirov.jpg</t>
  </si>
  <si>
    <t>https://az.wikipedia.org/wiki/N%C9%99c%C9%99f_b%C9%99y_V%C9%99zirov ; https://commons.wikimedia.org/wiki/File:Najaf_bey_Vazirov.jpg</t>
  </si>
  <si>
    <t>LIT-061</t>
  </si>
  <si>
    <t>"Dağılan tifaq" faciəsinin müəllifi kimdir?</t>
  </si>
  <si>
    <t>"Dağılan tifaq" Haqverdiyevin ilk faciələrindəndir.</t>
  </si>
  <si>
    <t>https://az.wikipedia.org/wiki/%C6%8Fbd%C3%BCrr%C9%99him_b%C9%99y_Haqverdiyev</t>
  </si>
  <si>
    <t>Yoxlandı 16.09.2026: mənbədə "Dağılan tifaq" ifadəsi ilə cavab təsdiqləndi.</t>
  </si>
  <si>
    <t>LIT-062</t>
  </si>
  <si>
    <t>"Bahadır və Sona" romanının müəllifi kimdir?</t>
  </si>
  <si>
    <t>Məmməd Səid Ordubadi</t>
  </si>
  <si>
    <t>"Bahadır və Sona" Nəriman Nərimanovun romanıdır.</t>
  </si>
  <si>
    <t>https://az.wikipedia.org/wiki/N%C9%99riman_N%C9%99rimanov</t>
  </si>
  <si>
    <t>Yoxlandı 16.09.2026: mənbədə "Bahadır və Sona" ifadəsi ilə cavab təsdiqləndi.</t>
  </si>
  <si>
    <t>LIT-063</t>
  </si>
  <si>
    <t>"Poçt qutusu" hekayəsinin müəllifi kimdir?</t>
  </si>
  <si>
    <t>"Poçt qutusu" Cəlil Məmmədquluzadənin məşhur hekayəsidir.</t>
  </si>
  <si>
    <t>Yoxlandı 16.09.2026: mənbədə "Poçt qutusu" ifadəsi ilə cavab təsdiqləndi.</t>
  </si>
  <si>
    <t>LIT-064</t>
  </si>
  <si>
    <t>"Danabaş kəndinin əhvalatları" povestinin müəllifi kimdir?</t>
  </si>
  <si>
    <t>Povest Cəlil Məmmədquluzadənin ilk böyük nəsr əsəridir.</t>
  </si>
  <si>
    <t>Yoxlandı 16.09.2026: mənbədə "Danabaş" ifadəsi ilə cavab təsdiqləndi.</t>
  </si>
  <si>
    <t>LIT-065</t>
  </si>
  <si>
    <t>Fotoportretdə təsvir olunan XIX–XX əsr dramaturqu kimdir?</t>
  </si>
  <si>
    <t>Fotoşəkildə Əbdürrəhim bəy Haqverdiyev təsvir olunub.</t>
  </si>
  <si>
    <t>literature-013.webp</t>
  </si>
  <si>
    <t>Ağ saçlı, bığlı, pencək geyinmiş yaşlı kişinin fotoportreti</t>
  </si>
  <si>
    <t>https://commons.wikimedia.org/wiki/File:Abdurrahim_bey_Hagverdiyev_4.jpg</t>
  </si>
  <si>
    <t>https://az.wikipedia.org/wiki/%C6%8Fbd%C3%BCrr%C9%99him_b%C9%99y_Haqverdiyev ; https://commons.wikimedia.org/wiki/File:Abdurrahim_bey_Hagverdiyev_4.jpg</t>
  </si>
  <si>
    <t>LIT-066</t>
  </si>
  <si>
    <t>Mirzə Ələkbər Sabir hansı şəhərdə anadan olmuşdur?</t>
  </si>
  <si>
    <t>Bakı</t>
  </si>
  <si>
    <t>Sabir 1862-ci ildə Şamaxıda doğulmuşdur.</t>
  </si>
  <si>
    <t>Yoxlandı 16.09.2026: mənbədə "Şamaxı" ifadəsi ilə cavab təsdiqləndi.</t>
  </si>
  <si>
    <t>LIT-067</t>
  </si>
  <si>
    <t>Nizami süjeti əsasında yazılmış "Nüşabə" pyesinin müəllifi kimdir?</t>
  </si>
  <si>
    <t>"Nüşabə" Abdulla Şaiqin Nizami süjeti əsasında yazdığı pyesdir.</t>
  </si>
  <si>
    <t>Yoxlandı 16.09.2026: mənbədə "Nüşabə" ifadəsi ilə cavab təsdiqləndi.</t>
  </si>
  <si>
    <t>LIT-068</t>
  </si>
  <si>
    <t>"Qorxulu nağıllar" silsiləsinin müəllifi kimdir?</t>
  </si>
  <si>
    <t>"Qorxulu nağıllar" Süleyman Sani Axundovun hekayələr silsiləsidir.</t>
  </si>
  <si>
    <t>https://az.wikipedia.org/wiki/S%C3%BCleyman_Sani_Axundov</t>
  </si>
  <si>
    <t>Yoxlandı 16.09.2026: mənbədə "Qorxulu nağıllar" ifadəsi ilə cavab təsdiqləndi.</t>
  </si>
  <si>
    <t>LIT-069</t>
  </si>
  <si>
    <t>"İblis" faciəsinin müəllifi kimdir?</t>
  </si>
  <si>
    <t>"İblis" Hüseyn Cavidin fəlsəfi faciəsidir.</t>
  </si>
  <si>
    <t>Yoxlandı 16.09.2026: mənbədə "İblis" ifadəsi ilə cavab təsdiqləndi.</t>
  </si>
  <si>
    <t>LIT-070</t>
  </si>
  <si>
    <t>Sepiya fotoportretdə təsvir olunan romançı kimdir?</t>
  </si>
  <si>
    <t>Mir Cəlal</t>
  </si>
  <si>
    <t>Süleyman Rəhimov</t>
  </si>
  <si>
    <t>Fotoşəkildə yazıçı Məmməd Səid Ordubadi təsvir olunub.</t>
  </si>
  <si>
    <t>literature-014.webp</t>
  </si>
  <si>
    <t>Geriyə daranmış saçlı, qalstuklu kişinin sepiya fotoportreti</t>
  </si>
  <si>
    <t>https://commons.wikimedia.org/wiki/File:Mammad_Said_Ordubadi.jpg</t>
  </si>
  <si>
    <t>https://az.wikipedia.org/wiki/M%C9%99mm%C9%99d_S%C9%99id_Ordubadi ; https://commons.wikimedia.org/wiki/File:Mammad_Said_Ordubadi.jpg</t>
  </si>
  <si>
    <t>LIT-071</t>
  </si>
  <si>
    <t>"Koroğlu" dastanında Koroğlunun məskən saldığı yer necə adlanır?</t>
  </si>
  <si>
    <t>Qaracadağ</t>
  </si>
  <si>
    <t>Göyçə</t>
  </si>
  <si>
    <t>Çənlibel</t>
  </si>
  <si>
    <t>Dərələyəz</t>
  </si>
  <si>
    <t>Koroğlu və dəliləri Çənlibeldə məskunlaşmışdılar.</t>
  </si>
  <si>
    <t>Yoxlandı 16.09.2026: mənbədə "Çənlibel" ifadəsi ilə cavab təsdiqləndi.</t>
  </si>
  <si>
    <t>LIT-072</t>
  </si>
  <si>
    <t>"Od gəlini" pyesinin müəllifi kimdir?</t>
  </si>
  <si>
    <t>"Od gəlini" Cəfər Cabbarlının mənzum faciəsidir.</t>
  </si>
  <si>
    <t>Yoxlandı 16.09.2026: mənbədə "Od gəlini" ifadəsi ilə cavab təsdiqləndi.</t>
  </si>
  <si>
    <t>LIT-073</t>
  </si>
  <si>
    <t>XI əsrdə yaşamış, "Divan"ı ilə tanınan Təbriz şairi kimdir?</t>
  </si>
  <si>
    <t>Qətran Təbrizi XI əsr Azərbaycan şairidir.</t>
  </si>
  <si>
    <t>https://az.wikipedia.org/wiki/Q%C9%99tran_T%C9%99brizi</t>
  </si>
  <si>
    <t>Yoxlandı 16.09.2026: mənbədə "Qətran" ifadəsi ilə cavab təsdiqləndi.</t>
  </si>
  <si>
    <t>LIT-074</t>
  </si>
  <si>
    <t>"Oxu, tar" şeirinin müəllifi kimdir?</t>
  </si>
  <si>
    <t>"Oxu, tar" Mikayıl Müşfiqin məşhur şeiridir.</t>
  </si>
  <si>
    <t>https://az.wikipedia.org/wiki/Mikay%C4%B1l_M%C3%BC%C5%9Ffiq</t>
  </si>
  <si>
    <t>Yoxlandı 16.09.2026: mənbədə "Oxu tar" ifadəsi ilə cavab təsdiqləndi.</t>
  </si>
  <si>
    <t>LIT-075</t>
  </si>
  <si>
    <t>1913-cü ildə çəkilmiş fotoşəkildəki yazıçı kimdir?</t>
  </si>
  <si>
    <t>Ömər Faiq Nemanzadə</t>
  </si>
  <si>
    <t>Fotoşəkil 1913-cü ildə çəkilib, Nəriman Nərimanovu təsvir edir.</t>
  </si>
  <si>
    <t>literature-015.webp</t>
  </si>
  <si>
    <t>Açıq rəngli kostyum geyinmiş, bığlı-saqqallı kişinin sepiya fotoportreti</t>
  </si>
  <si>
    <t>https://commons.wikimedia.org/wiki/File:Nariman_Narimanov_in_1913.jpg</t>
  </si>
  <si>
    <t>https://az.wikipedia.org/wiki/N%C9%99riman_N%C9%99rimanov ; https://commons.wikimedia.org/wiki/File:Nariman_Narimanov_in_1913.jpg</t>
  </si>
  <si>
    <t>LIT-076</t>
  </si>
  <si>
    <t>"Çırpınırdın, Qara dəniz" şeirinin müəllifi kimdir?</t>
  </si>
  <si>
    <t>Şeir Əhməd Cavadın ən məşhur əsərlərindəndir.</t>
  </si>
  <si>
    <t>https://az.wikipedia.org/wiki/%C6%8Fhm%C9%99d_Cavad</t>
  </si>
  <si>
    <t>Yoxlandı 16.09.2026: mənbədə "Qara dəniz" ifadəsi ilə cavab təsdiqləndi.</t>
  </si>
  <si>
    <t>LIT-077</t>
  </si>
  <si>
    <t>"Dumanlı Təbriz" romanının müəllifi kimdir?</t>
  </si>
  <si>
    <t>"Dumanlı Təbriz" Ordubadinin tarixi romanıdır.</t>
  </si>
  <si>
    <t>https://az.wikipedia.org/wiki/M%C9%99mm%C9%99d_S%C9%99id_Ordubadi</t>
  </si>
  <si>
    <t>Yoxlandı 16.09.2026: mənbədə "Dumanlı Təbriz" ifadəsi ilə cavab təsdiqləndi.</t>
  </si>
  <si>
    <t>LIT-078</t>
  </si>
  <si>
    <t>"Sazımın sözü" kitabının müəllifi olan Cənubi Azərbaycan şairi kimdir?</t>
  </si>
  <si>
    <t>Bulud Qaraçorlu Səhənd</t>
  </si>
  <si>
    <t>Balaş Azəroğlu</t>
  </si>
  <si>
    <t>Məhəmmədhüseyn Şəhriyar</t>
  </si>
  <si>
    <t>"Sazımın sözü" Səhəndin dastan-poemalar silsiləsidir.</t>
  </si>
  <si>
    <t>https://az.wikipedia.org/wiki/Bulud_Qara%C3%A7orlu</t>
  </si>
  <si>
    <t>Yoxlandı 16.09.2026: mənbədə "Sazımın sözü" ifadəsi ilə cavab təsdiqləndi.</t>
  </si>
  <si>
    <t>LIT-079</t>
  </si>
  <si>
    <t>"Bir gəncin manifesti" romanının müəllifi kimdir?</t>
  </si>
  <si>
    <t>İlyas Əfəndiyev</t>
  </si>
  <si>
    <t>"Bir gəncin manifesti" Mir Cəlalın romanıdır.</t>
  </si>
  <si>
    <t>https://az.wikipedia.org/wiki/Mir_C%C9%99lal_Pa%C5%9Fayev</t>
  </si>
  <si>
    <t>Yoxlandı 16.09.2026: mənbədə "Bir gəncin manifesti" ifadəsi ilə cavab təsdiqləndi.</t>
  </si>
  <si>
    <t>LIT-080</t>
  </si>
  <si>
    <t>Köhnə fotoşəkildə təsvir olunan XIX əsr şairi kimdir?</t>
  </si>
  <si>
    <t>Fotoşəkildə şair Seyid Əzim Şirvani təsvir olunub.</t>
  </si>
  <si>
    <t>literature-016.webp</t>
  </si>
  <si>
    <t>Hündür papaqlı, saqqallı, çiyninə aba salmış kişinin köhnə fotoşəkli</t>
  </si>
  <si>
    <t>https://commons.wikimedia.org/wiki/File:Seyid_Azim_Shirvani.jpg</t>
  </si>
  <si>
    <t>https://az.wikipedia.org/wiki/Seyid_%C6%8Fzim_%C5%9Eirvani ; https://commons.wikimedia.org/wiki/File:Seyid_Azim_Shirvani.jpg</t>
  </si>
  <si>
    <t>LIT-081</t>
  </si>
  <si>
    <t>"Sən həmişə mənimləsən" pyesinin müəllifi kimdir?</t>
  </si>
  <si>
    <t>Şıxəli Qurbanov</t>
  </si>
  <si>
    <t>Bəxtiyar Vahabzadə</t>
  </si>
  <si>
    <t>Anar</t>
  </si>
  <si>
    <t>Pyes İlyas Əfəndiyevin lirik-psixoloji dramıdır.</t>
  </si>
  <si>
    <t>https://az.wikipedia.org/wiki/%C4%B0lyas_%C6%8Ff%C9%99ndiyev</t>
  </si>
  <si>
    <t>Yoxlandı 16.09.2026: mənbədə "Sən həmişə mənimləsən" ifadəsi ilə cavab təsdiqləndi.</t>
  </si>
  <si>
    <t>LIT-082</t>
  </si>
  <si>
    <t>"Gülüstan" poemasının müəllifi kimdir?</t>
  </si>
  <si>
    <t>Xəlil Rza Ulutürk</t>
  </si>
  <si>
    <t>Nəbi Xəzri</t>
  </si>
  <si>
    <t>"Gülüstan" Bəxtiyar Vahabzadənin poemasıdır.</t>
  </si>
  <si>
    <t>https://az.wikipedia.org/wiki/B%C9%99xtiyar_Vahabzad%C9%99</t>
  </si>
  <si>
    <t>Yoxlandı 16.09.2026: mənbədə "Gülüstan" ifadəsi ilə cavab təsdiqləndi.</t>
  </si>
  <si>
    <t>LIT-083</t>
  </si>
  <si>
    <t>"Beşmərtəbəli evin altıncı mərtəbəsi" romanının müəllifi kimdir?</t>
  </si>
  <si>
    <t>Yusif Səmədoğlu</t>
  </si>
  <si>
    <t>İsa Hüseynov</t>
  </si>
  <si>
    <t>Elçin</t>
  </si>
  <si>
    <t>Roman xalq yazıçısı Anarın əsəridir.</t>
  </si>
  <si>
    <t>https://az.wikipedia.org/wiki/Anar</t>
  </si>
  <si>
    <t>Yoxlandı 16.09.2026: mənbədə "altıncı mərtəbəsi" ifadəsi ilə cavab təsdiqləndi.</t>
  </si>
  <si>
    <t>LIT-084</t>
  </si>
  <si>
    <t>Yazıçı Anarın valideynləri hansı şairlərdir?</t>
  </si>
  <si>
    <t>Osman Sarıvəlli və Nigar Rəfibəyli</t>
  </si>
  <si>
    <t>Rəsul Rza və Nigar Rəfibəyli</t>
  </si>
  <si>
    <t>Səməd Vurğun və Mirvarid Dilbazi</t>
  </si>
  <si>
    <t>Mikayıl Müşfiq və Mirvarid Dilbazi</t>
  </si>
  <si>
    <t>Anar şairlər Rəsul Rza ilə Nigar Rəfibəylinin oğludur.</t>
  </si>
  <si>
    <t>Yoxlandı 16.09.2026: mənbədə "Rəsul Rza", "Nigar Rəfibəyli" ifadəsi ilə cavab təsdiqləndi.</t>
  </si>
  <si>
    <t>LIT-085</t>
  </si>
  <si>
    <t>1907-ci ildə çəkilmiş fotoşəkildəki şair kimdir?</t>
  </si>
  <si>
    <t>Fotoşəkil 1907-ci ildə çəkilib, şair Məhəmməd Hadini təsvir edir.</t>
  </si>
  <si>
    <t>literature-017.webp</t>
  </si>
  <si>
    <t>Papaqlı, burma bığlı, kəpənək qalstuklu kişinin fotoportreti</t>
  </si>
  <si>
    <t>https://commons.wikimedia.org/wiki/File:Muhammad_Hadi.jpg</t>
  </si>
  <si>
    <t>https://az.wikipedia.org/wiki/M%C9%99h%C9%99mm%C9%99d_Hadi ; https://commons.wikimedia.org/wiki/File:Muhammad_Hadi.jpg</t>
  </si>
  <si>
    <t>LIT-086</t>
  </si>
  <si>
    <t>"Mahmud və Məryəm" romanının müəllifi kimdir?</t>
  </si>
  <si>
    <t>Əkrəm Əylisli</t>
  </si>
  <si>
    <t>"Mahmud və Məryəm" Elçinin romanıdır.</t>
  </si>
  <si>
    <t>https://az.wikipedia.org/wiki/El%C3%A7in_(yaz%C4%B1%C3%A7%C4%B1)</t>
  </si>
  <si>
    <t>Yoxlandı 16.09.2026: mənbədə "Mahmud və Məryəm" ifadəsi ilə cavab təsdiqləndi.</t>
  </si>
  <si>
    <t>LIT-087</t>
  </si>
  <si>
    <t>"Dəli Kür" romanının müəllifi kimdir?</t>
  </si>
  <si>
    <t>Mehdi Hüseyn</t>
  </si>
  <si>
    <t>Sabir Əhmədli</t>
  </si>
  <si>
    <t>İsmayıl Şıxlı</t>
  </si>
  <si>
    <t>"Dəli Kür" İsmayıl Şıxlının ən məşhur romanıdır.</t>
  </si>
  <si>
    <t>https://az.wikipedia.org/wiki/%C4%B0smay%C4%B1l_%C5%9E%C4%B1xl%C4%B1</t>
  </si>
  <si>
    <t>Yoxlandı 16.09.2026: mənbədə "Dəli Kür" ifadəsi ilə cavab təsdiqləndi.</t>
  </si>
  <si>
    <t>LIT-088</t>
  </si>
  <si>
    <t>"Qətl günü" romanının müəllifi kimdir?</t>
  </si>
  <si>
    <t>Çingiz Hüseynov</t>
  </si>
  <si>
    <t>"Qətl günü" Yusif Səmədoğlunun romanıdır.</t>
  </si>
  <si>
    <t>https://az.wikipedia.org/wiki/Yusif_S%C9%99m%C9%99do%C4%9Flu</t>
  </si>
  <si>
    <t>Yoxlandı 16.09.2026: mənbədə "Qətl günü" ifadəsi ilə cavab təsdiqləndi.</t>
  </si>
  <si>
    <t>LIT-089</t>
  </si>
  <si>
    <t>XIX əsrdə Göyçə mahalında yaşamış ustad aşıq kimdir?</t>
  </si>
  <si>
    <t>Aşıq Şəmşir</t>
  </si>
  <si>
    <t>Molla Cümə</t>
  </si>
  <si>
    <t>Aşıq Ələsgər Göyçə aşıq məktəbinin ən böyük nümayəndəsidir.</t>
  </si>
  <si>
    <t>https://az.wikipedia.org/wiki/A%C5%9F%C4%B1q_%C6%8Fl%C9%99sg%C9%99r</t>
  </si>
  <si>
    <t>Yoxlandı 16.09.2026: mənbədə "Göyçə" ifadəsi ilə cavab təsdiqləndi.</t>
  </si>
  <si>
    <t>LIT-090</t>
  </si>
  <si>
    <t>Qrafik portretdə təsvir olunan XX əsr əvvəli romantik şairi kimdir?</t>
  </si>
  <si>
    <t>Portretdə şair və tərcüməçi Abbas Səhhət təsvir olunub.</t>
  </si>
  <si>
    <t>literature-018.webp</t>
  </si>
  <si>
    <t>Burma bığlı, qalstuklu kişinin qrafik portreti</t>
  </si>
  <si>
    <t>https://commons.wikimedia.org/wiki/File:AbbasSahhat.jpg</t>
  </si>
  <si>
    <t>https://az.wikipedia.org/wiki/Abbas_S%C9%99hh%C9%99t ; https://commons.wikimedia.org/wiki/File:AbbasSahhat.jpg</t>
  </si>
  <si>
    <t>LIT-091</t>
  </si>
  <si>
    <t>Rübailəri ilə tanınan XII əsr Gəncə şairəsi kimdir?</t>
  </si>
  <si>
    <t>Məhsəti Gəncəvi rübai janrında gözəl nümunələr yaratmışdır.</t>
  </si>
  <si>
    <t>Yoxlandı 16.09.2026: mənbədə "Məhsəti Gəncəvi də rübai" ifadəsi ilə cavab təsdiqləndi.</t>
  </si>
  <si>
    <t>LIT-092</t>
  </si>
  <si>
    <t>Şeirləri alman şairi Fridrix Bodenştedt vasitəsilə Avropada tanınan azərbaycanlı şair kimdir?</t>
  </si>
  <si>
    <t>Bodenştedt Vazehin şeirlərini alman dilinə çevirib yaymışdır.</t>
  </si>
  <si>
    <t>https://az.wikipedia.org/wiki/Mirz%C9%99_%C5%9E%C9%99fi_Vazeh</t>
  </si>
  <si>
    <t>Yoxlandı 16.09.2026: mənbədə "Bodenştedt" ifadəsi ilə cavab təsdiqləndi.</t>
  </si>
  <si>
    <t>LIT-093</t>
  </si>
  <si>
    <t>"Gülüstani-İrəm" tarixi əsərinin müəllifi kimdir?</t>
  </si>
  <si>
    <t>Maarifçilik</t>
  </si>
  <si>
    <t>"Gülüstani-İrəm" Bakıxanovun Şirvan və Dağıstan tarixinə dair əsəridir.</t>
  </si>
  <si>
    <t>https://az.wikipedia.org/wiki/Abbasqulu_a%C4%9Fa_Bak%C4%B1xanov</t>
  </si>
  <si>
    <t>Yoxlandı 16.09.2026: mənbədə "Gülüstani-İrəm" ifadəsi ilə cavab təsdiqləndi.</t>
  </si>
  <si>
    <t>LIT-094</t>
  </si>
  <si>
    <t>"Kitabi-Dədə Qorqud"un Drezden nüsxəsi neçə boydan ibarətdir?</t>
  </si>
  <si>
    <t>10</t>
  </si>
  <si>
    <t>15</t>
  </si>
  <si>
    <t>8</t>
  </si>
  <si>
    <t>12</t>
  </si>
  <si>
    <t>Drezden əlyazmasında müqəddimə və 12 boy var.</t>
  </si>
  <si>
    <t>Yoxlandı 16.09.2026: mənbədə "12 boy" ifadəsi ilə cavab təsdiqləndi.</t>
  </si>
  <si>
    <t>LIT-095</t>
  </si>
  <si>
    <t>Şuşada yerləşən şəkildəki məqbərə hansı şairə aiddir?</t>
  </si>
  <si>
    <t>Şəkildə bərpadan sonra Vaqifin Şuşadakı məqbərəsi təsvir olunub.</t>
  </si>
  <si>
    <t>literature-019.webp</t>
  </si>
  <si>
    <t>Ağ daşdan tikilmiş, şəbəkəli naxışlarla bəzədilmiş hündür məqbərə və ona aparan xiyaban</t>
  </si>
  <si>
    <t>https://commons.wikimedia.org/wiki/File:Vagif_mausoleum_after_restoration,_Shusha,_Azerbaijan.jpg</t>
  </si>
  <si>
    <t>CC BY 4.0 — müəllif: Presidential Press and Information Office (https://creativecommons.org/licenses/by/4.0)</t>
  </si>
  <si>
    <t>https://az.wikipedia.org/wiki/Molla_P%C9%99nah_Vaqif ; https://commons.wikimedia.org/wiki/File:Vagif_mausoleum_after_restoration,_Shusha,_Azerbaijan.jpg</t>
  </si>
  <si>
    <t>Yoxlandı 16.09.2026: şəklin kimliyi Wikimedia Commons fayl təsvirində, məlumat az.wikipedia məqaləsində təsdiqləndi ("məqbərə"). Lisenziya Commons metaməlumatındandır.</t>
  </si>
  <si>
    <t>LIT-096</t>
  </si>
  <si>
    <t>Füzulinin əsl adı nədir?</t>
  </si>
  <si>
    <t>Məhəmməd Rza oğlu</t>
  </si>
  <si>
    <t>Məhəmməd Süleyman oğlu</t>
  </si>
  <si>
    <t>Əli Əsgər oğlu</t>
  </si>
  <si>
    <t>Həsən Əli oğlu</t>
  </si>
  <si>
    <t>Şairin əsl adı Məhəmməd, atasının adı Süleymandır.</t>
  </si>
  <si>
    <t>Yoxlandı 16.09.2026: mənbədə "Süleyman oğlu" ifadəsi ilə cavab təsdiqləndi.</t>
  </si>
  <si>
    <t>LIT-097</t>
  </si>
  <si>
    <t>Nizami Gəncəvi ömrünü hansı şəhərdə keçirmişdir?</t>
  </si>
  <si>
    <t>Bərdə</t>
  </si>
  <si>
    <t>Təbriz</t>
  </si>
  <si>
    <t>Nizami Gəncədə doğulmuş və orada yaşamışdır.</t>
  </si>
  <si>
    <t>Yoxlandı 16.09.2026: mənbədə "Gəncə" ifadəsi ilə cavab təsdiqləndi.</t>
  </si>
  <si>
    <t>LIT-098</t>
  </si>
  <si>
    <t>"Böyük dayaq" romanının müəllifi kimdir?</t>
  </si>
  <si>
    <t>"Böyük dayaq" Mirzə İbrahimovun romanıdır.</t>
  </si>
  <si>
    <t>https://az.wikipedia.org/wiki/Mirz%C9%99_%C4%B0brahimov</t>
  </si>
  <si>
    <t>Yoxlandı 16.09.2026: mənbədə "Böyük dayaq" ifadəsi ilə cavab təsdiqləndi.</t>
  </si>
  <si>
    <t>LIT-099</t>
  </si>
  <si>
    <t>Füzulinin "Leyli və Məcnun" poemasında Məcnunun əsl adı nədir?</t>
  </si>
  <si>
    <t>Leys</t>
  </si>
  <si>
    <t>Qeys</t>
  </si>
  <si>
    <t>Zeyd</t>
  </si>
  <si>
    <t>Səlim</t>
  </si>
  <si>
    <t>Məcnun ləqəbli qəhrəmanın əsl adı Qeysdir.</t>
  </si>
  <si>
    <t>https://az.wikipedia.org/wiki/Leyli_v%C9%99_M%C9%99cnun_(F%C3%BCzuli)</t>
  </si>
  <si>
    <t>Yoxlandı 16.09.2026: mənbədə "Qeys" ifadəsi ilə cavab təsdiqləndi.</t>
  </si>
  <si>
    <t>LIT-100</t>
  </si>
  <si>
    <t>Şəkildə ilk nömrəsinin üz qabığı verilən satirik jurnal hansı şəhərdə nəşrə başlamışdır?</t>
  </si>
  <si>
    <t>Tiflis</t>
  </si>
  <si>
    <t>"Molla Nəsrəddin" jurnalı 1906-cı ildə Tiflisdə nəşrə başlamışdır.</t>
  </si>
  <si>
    <t>literature-020.webp</t>
  </si>
  <si>
    <t>Ərəb qrafikalı başlığı və rəngli karikaturası olan köhnə jurnalın üz qabığı</t>
  </si>
  <si>
    <t>https://commons.wikimedia.org/wiki/File:Molla_N%C9%99sr%C9%99ddin._1906,_%E2%84%96_1.pdf</t>
  </si>
  <si>
    <t>https://az.wikipedia.org/wiki/Molla_N%C9%99sr%C9%99ddin_(jurnal) ; https://commons.wikimedia.org/wiki/File:Molla_N%C9%99sr%C9%99ddin._1906,_%E2%84%96_1.pdf</t>
  </si>
  <si>
    <t>Yoxlandı 16.09.2026: şəklin kimliyi Wikimedia Commons fayl təsvirində, məlumat az.wikipedia məqaləsində təsdiqləndi ("Tiflis"). Lisenziya Commons metaməlumatındandır.</t>
  </si>
  <si>
    <t>LIT-101</t>
  </si>
  <si>
    <t>"Heydərbabaya salam" poemasının müəllifi kimdir?</t>
  </si>
  <si>
    <t>Poema Şəhriyarın ana dilində yazdığı ən məşhur əsərdir.</t>
  </si>
  <si>
    <t>https://az.wikipedia.org/wiki/M%C9%99h%C9%99mm%C9%99dh%C3%BCseyn_%C5%9E%C9%99hriyar</t>
  </si>
  <si>
    <t>Yoxlandı 16.09.2026: mənbədə "Heydərbabaya salam" ifadəsi ilə cavab təsdiqləndi.</t>
  </si>
  <si>
    <t>LIT-102</t>
  </si>
  <si>
    <t>"Kitabi-Dədə Qorqud"da Salur Qazanın oğlunun adı nədir?</t>
  </si>
  <si>
    <t>Uruz</t>
  </si>
  <si>
    <t>Buğac</t>
  </si>
  <si>
    <t>Yeynək</t>
  </si>
  <si>
    <t>Qazan xanın oğlu Uruzdur.</t>
  </si>
  <si>
    <t>Yoxlandı 16.09.2026: mənbədə "Uruz" ifadəsi ilə cavab təsdiqləndi.</t>
  </si>
  <si>
    <t>LIT-103</t>
  </si>
  <si>
    <t>Nizaminin "Xosrov və Şirin" poemasında Şirinə aşiq olan dağçapan qəhrəman kimdir?</t>
  </si>
  <si>
    <t>Kərəm</t>
  </si>
  <si>
    <t>Məcnun</t>
  </si>
  <si>
    <t>Bəhram</t>
  </si>
  <si>
    <t>Fərhad</t>
  </si>
  <si>
    <t>Fərhad Şirinin eşqi ilə Bisütun dağını çapır.</t>
  </si>
  <si>
    <t>https://az.wikipedia.org/wiki/Xosrov_v%C9%99_%C5%9Eirin</t>
  </si>
  <si>
    <t>Yoxlandı 16.09.2026: mənbədə "Fərhad" ifadəsi ilə cavab təsdiqləndi.</t>
  </si>
  <si>
    <t>LIT-104</t>
  </si>
  <si>
    <t>"Azərbaycan ədəbiyyatı tarixi materialları" əsərinin müəllifi kimdir?</t>
  </si>
  <si>
    <t>Ədəbiyyatşünaslıq</t>
  </si>
  <si>
    <t>Əsər Firidun bəy Köçərlinin ədəbiyyat tarixinə dair fundamental əsəridir.</t>
  </si>
  <si>
    <t>https://az.wikipedia.org/wiki/Firidun_b%C9%99y_K%C3%B6%C3%A7%C9%99rli</t>
  </si>
  <si>
    <t>Yoxlandı 16.09.2026: mənbədə "ədəbiyyatı tarixi materialları" ifadəsi ilə cavab təsdiqləndi.</t>
  </si>
  <si>
    <t>LIT-105</t>
  </si>
  <si>
    <t>Stula söykənmiş gənc kişinin təsvir olunduğu fotoşəkildəki şair kimdir?</t>
  </si>
  <si>
    <t>Fotoşəkildə şair Mikayıl Müşfiq təsvir olunub.</t>
  </si>
  <si>
    <t>literature-021.webp</t>
  </si>
  <si>
    <t>Qıvrım saçlı, stulun söykənəcəyinə əllərini qoymuş gənc kişinin ağ-qara fotoşəkli</t>
  </si>
  <si>
    <t>https://commons.wikimedia.org/wiki/File:Mikayil_Mushfig.jpg</t>
  </si>
  <si>
    <t>https://az.wikipedia.org/wiki/Mikay%C4%B1l_M%C3%BC%C5%9Ffiq ; https://commons.wikimedia.org/wiki/File:Mikayil_Mushfig.jpg</t>
  </si>
  <si>
    <t>LIT-106</t>
  </si>
  <si>
    <t>"Töhfətül-İraqeyn" poemasının müəllifi kimdir?</t>
  </si>
  <si>
    <t>Hard</t>
  </si>
  <si>
    <t>"Töhfətül-İraqeyn" Xaqaninin Həcc səfəri təəssüratları əsasında yazdığı poemadır.</t>
  </si>
  <si>
    <t>https://az.wikipedia.org/wiki/Xaqani_%C5%9Eirvani</t>
  </si>
  <si>
    <t>Yoxlandı 16.09.2026: mənbədə "Töhfətül-İraqeyn" ifadəsi ilə cavab təsdiqləndi.</t>
  </si>
  <si>
    <t>LIT-107</t>
  </si>
  <si>
    <t>Sivasda hökmdar olmuş və türkcə divan yaratmış XIV əsr şairi kimdir?</t>
  </si>
  <si>
    <t>Cahan şah Həqiqi</t>
  </si>
  <si>
    <t>Qazi Bürhanəddin Sivas dövlətinin hökmdarı və şair idi.</t>
  </si>
  <si>
    <t>https://az.wikipedia.org/wiki/Qazi_B%C3%BCrhan%C9%99ddin</t>
  </si>
  <si>
    <t>Yoxlandı 16.09.2026: mənbədə "Sivas" ifadəsi ilə cavab təsdiqləndi.</t>
  </si>
  <si>
    <t>LIT-108</t>
  </si>
  <si>
    <t>Azərbaycan türkcəsində şeirləri dövrümüzə çatmış ilk şairlərdən sayılan XIII əsr şairi kimdir?</t>
  </si>
  <si>
    <t>İzzəddin Həsənoğlu</t>
  </si>
  <si>
    <t>Həsənoğlu ana dilli poeziyanın ilk nümayəndələrindən sayılır.</t>
  </si>
  <si>
    <t>https://az.wikipedia.org/wiki/%C4%B0zz%C9%99ddin_H%C9%99s%C9%99no%C4%9Flu</t>
  </si>
  <si>
    <t>Yoxlandı 16.09.2026: mənbədə "Həsənoğlu" ifadəsi ilə cavab təsdiqləndi.</t>
  </si>
  <si>
    <t>LIT-109</t>
  </si>
  <si>
    <t>Nəsimi hansı şəhərdə edam edilmişdir?</t>
  </si>
  <si>
    <t>Hələb</t>
  </si>
  <si>
    <t>Bağdad</t>
  </si>
  <si>
    <t>Nəsimi 1417-ci ildə Hələbdə edam edilmişdir.</t>
  </si>
  <si>
    <t>Yoxlandı 16.09.2026: mənbədə "Hələb" ifadəsi ilə cavab təsdiqləndi.</t>
  </si>
  <si>
    <t>LIT-110</t>
  </si>
  <si>
    <t>Sepiya fotoportretdə təsvir olunan uşaq yazıçısı və dramaturq kimdir?</t>
  </si>
  <si>
    <t>Fotoşəkildə Süleyman Sani Axundov təsvir olunub.</t>
  </si>
  <si>
    <t>literature-022.webp</t>
  </si>
  <si>
    <t>Keçəl, ağ bığlı, zolaqlı qalstuklu yaşlı kişinin sepiya fotoportreti</t>
  </si>
  <si>
    <t>https://commons.wikimedia.org/wiki/File:Suleyman_Sani_Akhundov.jpg</t>
  </si>
  <si>
    <t>https://az.wikipedia.org/wiki/S%C3%BCleyman_Sani_Axundov ; https://commons.wikimedia.org/wiki/File:Suleyman_Sani_Akhundov.jpg</t>
  </si>
  <si>
    <t>LIT-111</t>
  </si>
  <si>
    <t>"Bəngü Badə" poemasının müəllifi kimdir?</t>
  </si>
  <si>
    <t>Həbibi</t>
  </si>
  <si>
    <t>"Bəngü Badə" Füzulinin alleqorik poemasıdır.</t>
  </si>
  <si>
    <t>Yoxlandı 16.09.2026: mənbədə "Bəngü Badə" ifadəsi ilə cavab təsdiqləndi.</t>
  </si>
  <si>
    <t>LIT-112</t>
  </si>
  <si>
    <t>Nizaminin "İsgəndərnamə" poeması hansı iki hissədən ibarətdir?</t>
  </si>
  <si>
    <t>"Xosrovnamə" və "İqbalnamə"</t>
  </si>
  <si>
    <t>"Fütuhat" və "Ədəbnamə"</t>
  </si>
  <si>
    <t>"Şərəfnamə" və "İqbalnamə"</t>
  </si>
  <si>
    <t>"Şərəfnamə" və "Xiridnamə"</t>
  </si>
  <si>
    <t>"İsgəndərnamə" "Şərəfnamə" və "İqbalnamə" hissələrindən ibarətdir.</t>
  </si>
  <si>
    <t>https://az.wikipedia.org/wiki/%C4%B0sg%C9%99nd%C9%99rnam%C9%99</t>
  </si>
  <si>
    <t>Yoxlandı 16.09.2026: mənbədə "Şərəfnamə", "İqbalnamə" ifadəsi ilə cavab təsdiqləndi.</t>
  </si>
  <si>
    <t>LIT-113</t>
  </si>
  <si>
    <t>"Kitabi-Dədə Qorqud"un Drezden nüsxəsində birinci boy hansıdır?</t>
  </si>
  <si>
    <t>Bamsı Beyrək boyu</t>
  </si>
  <si>
    <t>Dəli Domrul boyu</t>
  </si>
  <si>
    <t>Dirsə xan oğlu Buğac xan boyu</t>
  </si>
  <si>
    <t>Salur Qazanın evinin yağmalandığı boy</t>
  </si>
  <si>
    <t>Drezden nüsxəsində boylar "Dirsə xan oğlu Buğac xan boyu" ilə başlayır.</t>
  </si>
  <si>
    <t>Yoxlandı 16.09.2026: mənbədə "Buğac" ifadəsi ilə cavab təsdiqləndi.</t>
  </si>
  <si>
    <t>LIT-114</t>
  </si>
  <si>
    <t>Avropa şairlərindən tərcümələrdən ibarət "Qərb günəşi" (1912) toplusunun müəllifi kimdir?</t>
  </si>
  <si>
    <t>Səhhət 1912-ci ildə Avropa şairlərindən tərcümələrini "Qərb günəşi" adı ilə nəşr etdirmişdir.</t>
  </si>
  <si>
    <t>https://az.wikipedia.org/wiki/Abbas_S%C9%99hh%C9%99t</t>
  </si>
  <si>
    <t>Yoxlandı 16.09.2026: mənbədə "Qərb günəşi" ifadəsi ilə cavab təsdiqləndi.</t>
  </si>
  <si>
    <t>LIT-115</t>
  </si>
  <si>
    <t>1911-ci ildə çəkilmiş fotoşəkildəki yazıçı kimdir?</t>
  </si>
  <si>
    <t>Fotoşəkil 1911-ci ildə çəkilib, Yusif Vəzir Çəmənzəminlini təsvir edir.</t>
  </si>
  <si>
    <t>literature-023.webp</t>
  </si>
  <si>
    <t>Uzun burma bığlı, formalı pencək geyinmiş gənc kişinin fotoportreti</t>
  </si>
  <si>
    <t>https://commons.wikimedia.org/wiki/File:Yusif_Vazir_Chamanzaminli_(1911).jpg</t>
  </si>
  <si>
    <t>https://az.wikipedia.org/wiki/Yusif_V%C9%99zir_%C3%87%C9%99m%C9%99nz%C9%99minli ; https://commons.wikimedia.org/wiki/File:Yusif_Vazir_Chamanzaminli_(1911).jpg</t>
  </si>
  <si>
    <t>LIT-116</t>
  </si>
  <si>
    <t>"Abbas və Zeynəb" hekayəsinin müəllifi kimdir?</t>
  </si>
  <si>
    <t>Hekayə "Qorxulu nağıllar" silsiləsinin müəllifinə məxsusdur.</t>
  </si>
  <si>
    <t>Yoxlandı 16.09.2026: mənbədə "Abbas və Zeynəb" ifadəsi ilə cavab təsdiqləndi.</t>
  </si>
  <si>
    <t>LIT-117</t>
  </si>
  <si>
    <t>"Ağa Məhəmməd şah Qacar" faciəsinin müəllifi kimdir?</t>
  </si>
  <si>
    <t>Tarixi faciə Haqverdiyevin qələminə məxsusdur.</t>
  </si>
  <si>
    <t>Yoxlandı 16.09.2026: mənbədə "Ağa Məhəmməd şah Qacar" ifadəsi ilə cavab təsdiqləndi.</t>
  </si>
  <si>
    <t>LIT-118</t>
  </si>
  <si>
    <t>Mikayıl Müşfiq repressiya zamanı hansı ildə güllələnmişdir?</t>
  </si>
  <si>
    <t>1938</t>
  </si>
  <si>
    <t>1949</t>
  </si>
  <si>
    <t>1937</t>
  </si>
  <si>
    <t>1941</t>
  </si>
  <si>
    <t>Müşfiq 1937-ci ildə həbs edilmiş, 1938-ci ilin yanvarında güllələnmişdir.</t>
  </si>
  <si>
    <t>Yoxlandı 16.09.2026: mənbədə "1938" ifadəsi ilə cavab təsdiqləndi.</t>
  </si>
  <si>
    <t>LIT-119</t>
  </si>
  <si>
    <t>Hüseyn Cavid sürgündə hansı vilayətdə vəfat etmişdir?</t>
  </si>
  <si>
    <t>İrkutsk vilayəti</t>
  </si>
  <si>
    <t>Krasnoyarsk diyarı</t>
  </si>
  <si>
    <t>Maqadan vilayəti</t>
  </si>
  <si>
    <t>Novosibirsk vilayəti</t>
  </si>
  <si>
    <t>Cavid 1941-ci ildə İrkutsk vilayətində sürgündə vəfat etmişdir.</t>
  </si>
  <si>
    <t>Yoxlandı 16.09.2026: mənbədə "İrkutsk" ifadəsi ilə cavab təsdiqləndi.</t>
  </si>
  <si>
    <t>LIT-120</t>
  </si>
  <si>
    <t>Şəkildəki ədəbiyyatşünas kimdir?</t>
  </si>
  <si>
    <t>Fotoşəkildə ədəbiyyatşünas Firidun bəy Köçərli təsvir olunub.</t>
  </si>
  <si>
    <t>literature-024.webp</t>
  </si>
  <si>
    <t>Keçəl, bığlı, dik yaxalı köynək geyinmiş kişinin köhnə fotoportreti</t>
  </si>
  <si>
    <t>https://commons.wikimedia.org/wiki/File:Firidun_bey_Kocharli.jpg</t>
  </si>
  <si>
    <t>https://az.wikipedia.org/wiki/Firidun_b%C9%99y_K%C3%B6%C3%A7%C9%99rli ; https://commons.wikimedia.org/wiki/File:Firidun_bey_Kocharli.jpg</t>
  </si>
  <si>
    <t>LIT-121</t>
  </si>
  <si>
    <t>"Dədə Qorqud" (1975) bədii filminin ssenari müəllifi kimdir?</t>
  </si>
  <si>
    <t>Rüstəm İbrahimbəyov</t>
  </si>
  <si>
    <t>Filmin ssenarisi yazıçı Anara məxsusdur.</t>
  </si>
  <si>
    <t>https://az.wikipedia.org/wiki/D%C9%99d%C9%99_Qorqud_(film)</t>
  </si>
  <si>
    <t>Yoxlandı 16.09.2026: mənbədə "Anar" ifadəsi ilə cavab təsdiqləndi.</t>
  </si>
  <si>
    <t>LIT-122</t>
  </si>
  <si>
    <t>Mir Möhsün Nəvvabın başçılıq etdiyi Şuşa ədəbi məclisi necə adlanırdı?</t>
  </si>
  <si>
    <t>Əncüməni-şüəra</t>
  </si>
  <si>
    <t>Nəvvab "Məclisi-fəramuşan"a rəhbərlik etmişdir.</t>
  </si>
  <si>
    <t>https://az.wikipedia.org/wiki/Mir_M%C3%B6hs%C3%BCn_N%C9%99vvab</t>
  </si>
  <si>
    <t>Yoxlandı 16.09.2026: mənbədə "Məclisi-fəramuşan" ifadəsi ilə cavab təsdiqləndi.</t>
  </si>
  <si>
    <t>LIT-123</t>
  </si>
  <si>
    <t>"Nadir şah" pyesinin müəllifi kimdir?</t>
  </si>
  <si>
    <t>"Nadir şah" Nərimanovun tarixi faciəsidir.</t>
  </si>
  <si>
    <t>Yoxlandı 16.09.2026: mənbədə "Nadir şah" ifadəsi ilə cavab təsdiqləndi.</t>
  </si>
  <si>
    <t>LIT-124</t>
  </si>
  <si>
    <t>"Komsomol poeması"nın müəllifi kimdir?</t>
  </si>
  <si>
    <t>"Komsomol poeması" Səməd Vurğunun əsəridir.</t>
  </si>
  <si>
    <t>Yoxlandı 16.09.2026: mənbədə "Komsomol poeması" ifadəsi ilə cavab təsdiqləndi.</t>
  </si>
  <si>
    <t>LIT-125</t>
  </si>
  <si>
    <t>Şəkildə Cəlil Məmmədquluzadə ailəsi ilə birlikdədir. Fotodakı həyat yoldaşı hansı maarifçi qadındır?</t>
  </si>
  <si>
    <t>Şəfiqə xanım Əfəndizadə</t>
  </si>
  <si>
    <t>Səkinə xanım Axundzadə</t>
  </si>
  <si>
    <t>Həmidə xanım Cavanşir</t>
  </si>
  <si>
    <t>Mirvarid Dilbazi</t>
  </si>
  <si>
    <t>Cəlil Məmmədquluzadənin həyat yoldaşı Həmidə xanım Cavanşir idi.</t>
  </si>
  <si>
    <t>literature-025.webp</t>
  </si>
  <si>
    <t>Açıq havada otlu sahədə oturmuş və dayanmış ailə üzvlərinin köhnə qrup fotoşəkli</t>
  </si>
  <si>
    <t>https://commons.wikimedia.org/wiki/File:Hamida_Javanshir_and_Jalil_Mammadquluzade.jpg</t>
  </si>
  <si>
    <t>https://az.wikipedia.org/wiki/H%C9%99mid%C9%99_M%C9%99mm%C9%99dquluzad%C9%99 ; https://commons.wikimedia.org/wiki/File:Hamida_Javanshir_and_Jalil_Mammadquluzade.jpg</t>
  </si>
  <si>
    <t>Yoxlandı 16.09.2026: şəklin kimliyi Wikimedia Commons fayl təsvirində, məlumat az.wikipedia məqaləsində təsdiqləndi ("Məmmədquluzadə"). Lisenziya Commons metaməlumatındandır.</t>
  </si>
  <si>
    <t>LIT-126</t>
  </si>
  <si>
    <t>"Şamo" romanının müəllifi kimdir?</t>
  </si>
  <si>
    <t>"Şamo" Süleyman Rəhimovun çoxcildli romanıdır.</t>
  </si>
  <si>
    <t>https://az.wikipedia.org/wiki/S%C3%BCleyman_R%C9%99himov</t>
  </si>
  <si>
    <t>Yoxlandı 16.09.2026: mənbədə "Şamo" ifadəsi ilə cavab təsdiqləndi.</t>
  </si>
  <si>
    <t>LIT-127</t>
  </si>
  <si>
    <t>"Dirilən adam" romanının müəllifi kimdir?</t>
  </si>
  <si>
    <t>Əbülhəsən</t>
  </si>
  <si>
    <t>"Dirilən adam" Mir Cəlalın ilk romanıdır.</t>
  </si>
  <si>
    <t>Yoxlandı 16.09.2026: mənbədə "Dirilən adam" ifadəsi ilə cavab təsdiqləndi.</t>
  </si>
  <si>
    <t>LIT-128</t>
  </si>
  <si>
    <t>"Abşeron" romanının müəllifi kimdir?</t>
  </si>
  <si>
    <t>"Abşeron" Mehdi Hüseynin neftçilərdən bəhs edən romanıdır.</t>
  </si>
  <si>
    <t>https://az.wikipedia.org/wiki/Mehdi_H%C3%BCseyn</t>
  </si>
  <si>
    <t>Yoxlandı 16.09.2026: mənbədə "Abşeron" ifadəsi ilə cavab təsdiqləndi.</t>
  </si>
  <si>
    <t>LIT-129</t>
  </si>
  <si>
    <t>"Səyavuş" faciəsinin müəllifi kimdir?</t>
  </si>
  <si>
    <t>"Səyavuş" Cavidin "Şahnamə" motivli faciəsidir.</t>
  </si>
  <si>
    <t>Yoxlandı 16.09.2026: mənbədə "Səyavuş" ifadəsi ilə cavab təsdiqləndi.</t>
  </si>
  <si>
    <t>LIT-130</t>
  </si>
  <si>
    <t>Şəkildəki mütəfəkkir və publisist kimdir?</t>
  </si>
  <si>
    <t>Əhməd bəy Ağaoğlu</t>
  </si>
  <si>
    <t>Fotoşəkildə Əli bəy Hüseynzadə təsvir olunub (1933).</t>
  </si>
  <si>
    <t>literature-026.webp</t>
  </si>
  <si>
    <t>Ağ saçlı və saqqallı, tünd kostyumlu yaşlı kişinin ağ-qara fotoportreti</t>
  </si>
  <si>
    <t>https://commons.wikimedia.org/wiki/File:Ali_bey_Huseynzade.jpg</t>
  </si>
  <si>
    <t>https://az.wikipedia.org/wiki/%C6%8Fli_b%C9%99y_H%C3%BCseynzad%C9%99 ; https://commons.wikimedia.org/wiki/File:Ali_bey_Huseynzade.jpg</t>
  </si>
  <si>
    <t>LIT-131</t>
  </si>
  <si>
    <t>"Xurşidbanu Natəvan" pyesinin müəllifi kimdir?</t>
  </si>
  <si>
    <t>Pyes İlyas Əfəndiyevin tarixi dramıdır.</t>
  </si>
  <si>
    <t>Yoxlandı 16.09.2026: mənbədə "Natəvan" ifadəsi ilə cavab təsdiqləndi.</t>
  </si>
  <si>
    <t>LIT-132</t>
  </si>
  <si>
    <t>"Şəbi-hicran" poemasının müəllifi kimdir?</t>
  </si>
  <si>
    <t>Məmməd Araz</t>
  </si>
  <si>
    <t>"Şəbi hicran" kitabı Bəxtiyar Vahabzadənin əsəridir (1959-cu il nəşri).</t>
  </si>
  <si>
    <t>Yoxlandı 16.09.2026: mənbədə "Şəbi hicran" ifadəsi ilə cavab təsdiqləndi.</t>
  </si>
  <si>
    <t>LIT-133</t>
  </si>
  <si>
    <t>"Əlvahi-intibah" əsərinin müəllifi kimdir?</t>
  </si>
  <si>
    <t>"Əlvahi-intibah" Hadinin şeirlər silsiləsidir.</t>
  </si>
  <si>
    <t>https://az.wikipedia.org/wiki/M%C9%99h%C9%99mm%C9%99d_Hadi</t>
  </si>
  <si>
    <t>Yoxlandı 16.09.2026: mənbədə "Əlvahi-intibah" ifadəsi ilə cavab təsdiqləndi.</t>
  </si>
  <si>
    <t>LIT-134</t>
  </si>
  <si>
    <t>Mirzə Ələkbər Sabirin müəllimi olmuş şair kimdir?</t>
  </si>
  <si>
    <t>Mir Möhsün Nəvvab</t>
  </si>
  <si>
    <t>Sabir Seyid Əzim Şirvaninin Şamaxıdakı məktəbində oxumuşdur.</t>
  </si>
  <si>
    <t>Yoxlandı 16.09.2026: mənbədə "Seyid Əzim" ifadəsi ilə cavab təsdiqləndi.</t>
  </si>
  <si>
    <t>LIT-135</t>
  </si>
  <si>
    <t>Şəkildəki publisist və dramaturq kimdir?</t>
  </si>
  <si>
    <t>Haşım bəy Vəzirov</t>
  </si>
  <si>
    <t>Fotoşəkildə Haşım bəy Vəzirov təsvir olunub.</t>
  </si>
  <si>
    <t>literature-027.webp</t>
  </si>
  <si>
    <t>Şlyapalı, açıq rəngli kostyumlu, əlində əsa şəlalə önündə oturan kişinin köhnə fotoşəkli</t>
  </si>
  <si>
    <t>https://commons.wikimedia.org/wiki/File:Hashim_bey_Vezirov.jpg</t>
  </si>
  <si>
    <t>https://az.wikipedia.org/wiki/Ha%C5%9F%C4%B1m_b%C9%99y_V%C9%99zirov ; https://commons.wikimedia.org/wiki/File:Hashim_bey_Vezirov.jpg</t>
  </si>
  <si>
    <t>LIT-136</t>
  </si>
  <si>
    <t>"Qan içində" romanının müəllifi kimdir?</t>
  </si>
  <si>
    <t>"Qan içində" Çəmənzəminlinin tarixi romanıdır.</t>
  </si>
  <si>
    <t>https://az.wikipedia.org/wiki/Yusif_V%C9%99zir_%C3%87%C9%99m%C9%99nz%C9%99minli</t>
  </si>
  <si>
    <t>Yoxlandı 16.09.2026: mənbədə "Qan içində" ifadəsi ilə cavab təsdiqləndi.</t>
  </si>
  <si>
    <t>LIT-137</t>
  </si>
  <si>
    <t>"Qılınc və qələm" romanının müəllifi kimdir?</t>
  </si>
  <si>
    <t>Əzizə Cəfərzadə</t>
  </si>
  <si>
    <t>Roman Nizami dövründən bəhs edən tarixi əsərdir.</t>
  </si>
  <si>
    <t>Yoxlandı 16.09.2026: mənbədə "Qılınc və qələm" ifadəsi ilə cavab təsdiqləndi.</t>
  </si>
  <si>
    <t>LIT-138</t>
  </si>
  <si>
    <t>"Təbrizim" şeirlər silsiləsinin müəllifi kimdir?</t>
  </si>
  <si>
    <t>"Təbrizim" Süleyman Rüstəmin Cənubi Azərbaycan mövzulu silsiləsidir.</t>
  </si>
  <si>
    <t>https://az.wikipedia.org/wiki/S%C3%BCleyman_R%C3%BCst%C9%99m</t>
  </si>
  <si>
    <t>Yoxlandı 16.09.2026: mənbədə "Təbrizim" ifadəsi ilə cavab təsdiqləndi.</t>
  </si>
  <si>
    <t>LIT-139</t>
  </si>
  <si>
    <t>"Rənglər" şeirlər silsiləsinin müəllifi kimdir?</t>
  </si>
  <si>
    <t>Əli Kərim</t>
  </si>
  <si>
    <t>"Rənglər" Rəsul Rzanın sərbəst şeirlə yazdığı silsilədir.</t>
  </si>
  <si>
    <t>https://az.wikipedia.org/wiki/R%C9%99sul_Rza</t>
  </si>
  <si>
    <t>Yoxlandı 16.09.2026: mənbədə "Rənglər" ifadəsi ilə cavab təsdiqləndi.</t>
  </si>
  <si>
    <t>LIT-140</t>
  </si>
  <si>
    <t>Şəkildəki şair və rəssam kimdir?</t>
  </si>
  <si>
    <t>Fotoşəkildə Şuşalı şair, rəssam və musiqişünas Mir Möhsün Nəvvab təsvir olunub.</t>
  </si>
  <si>
    <t>literature-028.webp</t>
  </si>
  <si>
    <t>Hündür papaqlı, xəz yaxalı geyimdə, masanın yanında oturan kişinin köhnə fotoşəkli</t>
  </si>
  <si>
    <t>https://commons.wikimedia.org/wiki/File:Mir_Mohsun_Navvab.jpg</t>
  </si>
  <si>
    <t>https://az.wikipedia.org/wiki/Mir_M%C3%B6hs%C3%BCn_N%C9%99vvab ; https://commons.wikimedia.org/wiki/File:Mir_Mohsun_Navvab.jpg</t>
  </si>
  <si>
    <t>LIT-141</t>
  </si>
  <si>
    <t>"Füyuzat" jurnalının redaktoru kim idi?</t>
  </si>
  <si>
    <t>"Füyuzat" 1906–1907-ci illərdə Əli bəy Hüseynzadənin redaktorluğu ilə çıxmışdır.</t>
  </si>
  <si>
    <t>https://az.wikipedia.org/wiki/F%C3%BCyuzat</t>
  </si>
  <si>
    <t>Yoxlandı 16.09.2026: mənbədə "Hüseynzadə" ifadəsi ilə cavab təsdiqləndi.</t>
  </si>
  <si>
    <t>LIT-142</t>
  </si>
  <si>
    <t>Molla Pənah Vaqif 1797-ci ildə kimin əmri ilə öldürülmüşdür?</t>
  </si>
  <si>
    <t>Ağa Məhəmməd şah Qacar</t>
  </si>
  <si>
    <t>Məhəmməd bəy Cavanşir</t>
  </si>
  <si>
    <t>Qacarın ölümündən sonra hakimiyyəti ələ alan Məhəmməd bəy Cavanşir Vaqifi edam etdirmişdir.</t>
  </si>
  <si>
    <t>Yoxlandı 16.09.2026: mənbədə "Məhəmməd bəy" ifadəsi ilə cavab təsdiqləndi.</t>
  </si>
  <si>
    <t>LIT-143</t>
  </si>
  <si>
    <t>Nizaminin "Yeddi gözəl" poemasının fars dilindəki adı nədir?</t>
  </si>
  <si>
    <t>Məxzənül-əsrar</t>
  </si>
  <si>
    <t>Həşt behişt</t>
  </si>
  <si>
    <t>Şərəfnamə</t>
  </si>
  <si>
    <t>Həft peykər</t>
  </si>
  <si>
    <t>Poemanın orijinal adı "Həft peykər"dir.</t>
  </si>
  <si>
    <t>Yoxlandı 16.09.2026: mənbədə "Həft peykər" ifadəsi ilə cavab təsdiqləndi.</t>
  </si>
  <si>
    <t>LIT-144</t>
  </si>
  <si>
    <t>Nəsimi təxəllüslü şairin əsl adı nədir?</t>
  </si>
  <si>
    <t>Seyid Yəhya</t>
  </si>
  <si>
    <t>Seyid Əzim</t>
  </si>
  <si>
    <t>Seyid Məhəmməd</t>
  </si>
  <si>
    <t>Seyid Əli</t>
  </si>
  <si>
    <t>Nəsiminin əsl adı Seyid Əli, ləqəbi İmadəddindir.</t>
  </si>
  <si>
    <t>Yoxlandı 16.09.2026: mənbədə "Seyid Əli" ifadəsi ilə cavab təsdiqləndi.</t>
  </si>
  <si>
    <t>LIT-145</t>
  </si>
  <si>
    <t>Şəkildəki maarifçi publisist kimdir?</t>
  </si>
  <si>
    <t>Fotoşəkil 1894-cü ildə çəkilib, Həsən bəy Zərdabini təsvir edir.</t>
  </si>
  <si>
    <t>literature-029.webp</t>
  </si>
  <si>
    <t>Papaqlı, ağ saqqallı, qollarını masaya qoyub oturan yaşlı kişinin sepiya fotoşəkli</t>
  </si>
  <si>
    <t>https://commons.wikimedia.org/wiki/File:Hasan_bey_Zardabi_2.jpg</t>
  </si>
  <si>
    <t>https://az.wikipedia.org/wiki/H%C9%99s%C9%99n_b%C9%99y_Z%C9%99rdabi ; https://commons.wikimedia.org/wiki/File:Hasan_bey_Zardabi_2.jpg</t>
  </si>
  <si>
    <t>LIT-146</t>
  </si>
  <si>
    <t>"Kəmalüddövlə məktubları" əsərinin müəllifi kimdir?</t>
  </si>
  <si>
    <t>Zeynalabdin Marağayi</t>
  </si>
  <si>
    <t>Fəlsəfi traktat Axundzadəyə məxsusdur.</t>
  </si>
  <si>
    <t>Yoxlandı 16.09.2026: mənbədə "Kəmalüddövlə" ifadəsi ilə cavab təsdiqləndi.</t>
  </si>
  <si>
    <t>LIT-147</t>
  </si>
  <si>
    <t>"Kamança" pyesinin müəllifi kimdir?</t>
  </si>
  <si>
    <t>"Kamança" Cəlil Məmmədquluzadənin pyesidir.</t>
  </si>
  <si>
    <t>Yoxlandı 16.09.2026: mənbədə "Kamança" ifadəsi ilə cavab təsdiqləndi.</t>
  </si>
  <si>
    <t>LIT-148</t>
  </si>
  <si>
    <t>"Aydın" pyesinin müəllifi kimdir?</t>
  </si>
  <si>
    <t>"Aydın" Cəfər Cabbarlının ilk böyük dramlarındandır.</t>
  </si>
  <si>
    <t>Yoxlandı 16.09.2026: mənbədə ""Aydın" (1919)" ifadəsi ilə cavab təsdiqləndi.</t>
  </si>
  <si>
    <t>LIT-149</t>
  </si>
  <si>
    <t>"İbrahim bəyin səyahətnaməsi" romanının müəllifi kimdir?</t>
  </si>
  <si>
    <t>Hacı Zeynalabdin Marağayi</t>
  </si>
  <si>
    <t>Əbdürrəhim bəy Talıbov</t>
  </si>
  <si>
    <t>Roman Zeynalabdin Marağayinin məşhur əsəridir.</t>
  </si>
  <si>
    <t>https://az.wikipedia.org/wiki/Hac%C4%B1_Zeynalabdin_Mara%C4%9Fayi</t>
  </si>
  <si>
    <t>Yoxlandı 16.09.2026: mənbədə "İbrahim bəy" ifadəsi ilə cavab təsdiqləndi.</t>
  </si>
  <si>
    <t>LIT-150</t>
  </si>
  <si>
    <t>Şəkildəki publisist kimdir?</t>
  </si>
  <si>
    <t>Fotoşəkildə "Molla Nəsrəddin"in banilərindən Ömər Faiq Nemanzadə təsvir olunub.</t>
  </si>
  <si>
    <t>literature-030.webp</t>
  </si>
  <si>
    <t>Burma bığlı, tünd pencəkli kişinin sepiya fotoportreti</t>
  </si>
  <si>
    <t>https://commons.wikimedia.org/wiki/File:Omar_Faig_Nemanzadeh.jpg</t>
  </si>
  <si>
    <t>https://az.wikipedia.org/wiki/%C3%96m%C9%99r_Faiq_Nemanzad%C9%99 ; https://commons.wikimedia.org/wiki/File:Omar_Faig_Nemanzadeh.jpg</t>
  </si>
  <si>
    <t>Ədəbiyyat Dünyası — doldurma yoxlaması</t>
  </si>
  <si>
    <t>Göstərici</t>
  </si>
  <si>
    <t>Cari</t>
  </si>
  <si>
    <t>Hədəf</t>
  </si>
  <si>
    <t>Nəticə</t>
  </si>
  <si>
    <t>Ümumi sual</t>
  </si>
  <si>
    <t>Şəkilli sual</t>
  </si>
  <si>
    <t>Mətnli sual</t>
  </si>
  <si>
    <t>Şəkilli Easy</t>
  </si>
  <si>
    <t>Şəkilli Medium</t>
  </si>
  <si>
    <t>Şəkilli Hard</t>
  </si>
  <si>
    <t>Düzgün cavab A</t>
  </si>
  <si>
    <t>Düzgün cavab B</t>
  </si>
  <si>
    <t>Düzgün cavab C</t>
  </si>
  <si>
    <t>Düzgün cavab D</t>
  </si>
  <si>
    <t>Mənbəsiz sual</t>
  </si>
  <si>
    <t>Mənbəsiz şəkil</t>
  </si>
  <si>
    <t>Lisenziyasız şəkil</t>
  </si>
  <si>
    <t>Alt mətni olmayan şəkil</t>
  </si>
  <si>
    <t>Gözləyir</t>
  </si>
  <si>
    <t>Rədd edilib</t>
  </si>
  <si>
    <t>Qeyd: Qırmızı ilə işarələnən nəticələr hədəfdən fərqlənir. Questions səhifəsində eyni ID və ya eyni sual təkrarlanarsa hüceyrə qırmızı görünəcək.</t>
  </si>
  <si>
    <t>Ədəbiyyat Dünyası sual bankı — doldurma qaydaları</t>
  </si>
  <si>
    <t>Bölmə</t>
  </si>
  <si>
    <t>Qayda</t>
  </si>
  <si>
    <t>Sual sayı</t>
  </si>
  <si>
    <t>Dəqiq 150 sual: 45 Easy, 60 Medium, 45 Hard.</t>
  </si>
  <si>
    <t>Şəkil sayı</t>
  </si>
  <si>
    <t>30 şəkilli sual: 9 Easy, 12 Medium, 9 Hard. Qalan 120 sual mətnli olmalıdır.</t>
  </si>
  <si>
    <t>ID-lər hazırdır: LIT-001–LIT-150. Dəyişdirməyin və təkrarlamayın.</t>
  </si>
  <si>
    <t>Yalnız A, B, C və ya D seçin. Hədəf: 38 / 38 / 37 / 37.</t>
  </si>
  <si>
    <t>Yalnız Easy, Medium və ya Hard seçin.</t>
  </si>
  <si>
    <t>İlkin Gözləyir. Fakt və mənbə yoxlandıqdan sonra Təsdiqlənib seçin.</t>
  </si>
  <si>
    <t>Bir sətir</t>
  </si>
  <si>
    <t>Hər sətirdə yalnız bir sual olsun. Hüceyrələri birləşdirməyin, gizli sətir yaratmayın.</t>
  </si>
  <si>
    <t>Mənbə</t>
  </si>
  <si>
    <t>Hər sual üçün birbaşa və etibarlı mənbə yazın. Ana səhifə və axtarış nəticəsi linki kifayət deyil.</t>
  </si>
  <si>
    <t>Şəkil</t>
  </si>
  <si>
    <t>Şəkli Excel-ə yerləşdirməyin. images qovluğunda ayrıca saxlayın.</t>
  </si>
  <si>
    <t>Şəkil adı</t>
  </si>
  <si>
    <t>Neytral ad istifadə edin: literature-001.jpg və s. Fayl adı cavabı açıqlamasın.</t>
  </si>
  <si>
    <t>Alt mətn</t>
  </si>
  <si>
    <t>Neytral təsvir yazın. Məsələn: Klassik geyimli ədibin portreti. Cavabın adını yazmayın.</t>
  </si>
  <si>
    <t>Şəkilli sualda mənbə URL-i və lisenziya mütləq doldurulmalıdır.</t>
  </si>
  <si>
    <t>Mətnli sualda Şəkil faylı, alt mətn, şəkil mənbəyi və lisenziya boş qalsın.</t>
  </si>
  <si>
    <t>Təkrar</t>
  </si>
  <si>
    <t>Eyni sualı başqa sözlərlə təkrar etməyin. Təkrar suallar qırmızı işarələnəcək.</t>
  </si>
  <si>
    <t>Yoxlama</t>
  </si>
  <si>
    <t>Yoxlama səhifəsində saylar avtomatik hesablanır. Bütün əsas nəticələr OK olmalıdır.</t>
  </si>
  <si>
    <t>Qovluq</t>
  </si>
  <si>
    <t>edebiyyat-dunyasi.xlsx və images/ qovluğunu birlikdə təhvil verin.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</si>
</sst>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3D77E"/>
      <name val="Carlito"/>
    </font>
    <font>
      <sz val="10"/>
      <color rgb="FF2A1C14"/>
      <name val="Arial"/>
    </font>
    <font>
      <b/>
      <sz val="15"/>
      <color rgb="FFF3D77E"/>
      <name val="Carlito"/>
    </font>
    <font>
      <b/>
      <sz val="11"/>
      <color rgb="FFFFFFFF"/>
      <name val="Carlito"/>
    </font>
    <font>
      <i/>
      <sz val="10"/>
      <color rgb="FF2A1C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294F"/>
      </patternFill>
    </fill>
    <fill>
      <patternFill patternType="solid">
        <fgColor rgb="FF7D161D"/>
      </patternFill>
    </fill>
    <fill>
      <patternFill patternType="solid">
        <fgColor rgb="FFEAF0F8"/>
      </patternFill>
    </fill>
    <fill>
      <patternFill patternType="solid">
        <fgColor rgb="FFFFF4D6"/>
      </patternFill>
    </fill>
  </fills>
  <borders count="10">
    <border>
      <left/>
      <right/>
      <top/>
      <bottom/>
      <diagonal/>
    </border>
    <border>
      <left/>
      <right style="thin">
        <color rgb="FFD9D3C7"/>
      </right>
      <top/>
      <bottom style="thin">
        <color rgb="FFD9D3C7"/>
      </bottom>
      <diagonal/>
    </border>
    <border>
      <left style="thin">
        <color rgb="FFD9D3C7"/>
      </left>
      <right style="thin">
        <color rgb="FFD9D3C7"/>
      </right>
      <top/>
      <bottom style="thin">
        <color rgb="FFD9D3C7"/>
      </bottom>
      <diagonal/>
    </border>
    <border>
      <left style="thin">
        <color rgb="FFD9D3C7"/>
      </left>
      <right/>
      <top/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 style="thin">
        <color rgb="FFD9D3C7"/>
      </bottom>
      <diagonal/>
    </border>
    <border>
      <left style="thin">
        <color rgb="FFD9D3C7"/>
      </left>
      <right style="thin">
        <color rgb="FFD9D3C7"/>
      </right>
      <top style="thin">
        <color rgb="FFD9D3C7"/>
      </top>
      <bottom style="thin">
        <color rgb="FFD9D3C7"/>
      </bottom>
      <diagonal/>
    </border>
    <border>
      <left style="thin">
        <color rgb="FFD9D3C7"/>
      </left>
      <right/>
      <top style="thin">
        <color rgb="FFD9D3C7"/>
      </top>
      <bottom style="thin">
        <color rgb="FFD9D3C7"/>
      </bottom>
      <diagonal/>
    </border>
    <border>
      <left/>
      <right style="thin">
        <color rgb="FFD9D3C7"/>
      </right>
      <top style="thin">
        <color rgb="FFD9D3C7"/>
      </top>
      <bottom/>
      <diagonal/>
    </border>
    <border>
      <left style="thin">
        <color rgb="FFD9D3C7"/>
      </left>
      <right style="thin">
        <color rgb="FFD9D3C7"/>
      </right>
      <top style="thin">
        <color rgb="FFD9D3C7"/>
      </top>
      <bottom/>
      <diagonal/>
    </border>
    <border>
      <left style="thin">
        <color rgb="FFD9D3C7"/>
      </left>
      <right/>
      <top style="thin">
        <color rgb="FFD9D3C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4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4" borderId="5" xfId="0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7">
    <dxf>
      <font>
        <b/>
        <color rgb="FF7D161D"/>
      </font>
      <fill>
        <patternFill patternType="solid">
          <bgColor rgb="FFFCE8E8"/>
        </patternFill>
      </fill>
    </dxf>
    <dxf>
      <font>
        <b/>
        <color rgb="FF246B35"/>
      </font>
      <fill>
        <patternFill patternType="solid">
          <bgColor rgb="FFE7F4EA"/>
        </patternFill>
      </fill>
    </dxf>
    <dxf>
      <font>
        <b/>
        <color rgb="FF7D161D"/>
      </font>
      <fill>
        <patternFill patternType="solid">
          <bgColor rgb="FFFCE8E8"/>
        </patternFill>
      </fill>
    </dxf>
    <dxf>
      <font>
        <color rgb="FF7A5B00"/>
      </font>
      <fill>
        <patternFill patternType="solid">
          <bgColor rgb="FFFFF4D6"/>
        </patternFill>
      </fill>
    </dxf>
    <dxf>
      <font>
        <b/>
        <color rgb="FF246B35"/>
      </font>
      <fill>
        <patternFill patternType="solid">
          <bgColor rgb="FFE7F4EA"/>
        </patternFill>
      </fill>
    </dxf>
    <dxf>
      <font>
        <b/>
        <color rgb="FF7D161D"/>
      </font>
      <fill>
        <patternFill patternType="solid">
          <bgColor rgb="FFFCE8E8"/>
        </patternFill>
      </fill>
    </dxf>
    <dxf>
      <font>
        <b/>
        <color rgb="FF7D161D"/>
      </font>
      <fill>
        <patternFill patternType="solid">
          <bgColor rgb="FFFC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QuestionsTable" displayName="LiteratureQuestionsTable" ref="A1:Q151" totalsRowShown="0">
  <autoFilter ref="A1:Q151" xr:uid="{00000000-0009-0000-0100-000001000000}"/>
  <tableColumns count="17">
    <tableColumn id="1" xr3:uid="{00000000-0010-0000-0000-000001000000}" name="ID"/>
    <tableColumn id="2" xr3:uid="{00000000-0010-0000-0000-000002000000}" name="Sual"/>
    <tableColumn id="3" xr3:uid="{00000000-0010-0000-0000-000003000000}" name="A"/>
    <tableColumn id="4" xr3:uid="{00000000-0010-0000-0000-000004000000}" name="B"/>
    <tableColumn id="5" xr3:uid="{00000000-0010-0000-0000-000005000000}" name="C"/>
    <tableColumn id="6" xr3:uid="{00000000-0010-0000-0000-000006000000}" name="D"/>
    <tableColumn id="7" xr3:uid="{00000000-0010-0000-0000-000007000000}" name="Düzgün cavab"/>
    <tableColumn id="8" xr3:uid="{00000000-0010-0000-0000-000008000000}" name="Çətinlik"/>
    <tableColumn id="9" xr3:uid="{00000000-0010-0000-0000-000009000000}" name="Mövzu"/>
    <tableColumn id="10" xr3:uid="{00000000-0010-0000-0000-00000A000000}" name="İzah"/>
    <tableColumn id="11" xr3:uid="{00000000-0010-0000-0000-00000B000000}" name="Şəkil faylı"/>
    <tableColumn id="12" xr3:uid="{00000000-0010-0000-0000-00000C000000}" name="Şəkil alt mətni"/>
    <tableColumn id="13" xr3:uid="{00000000-0010-0000-0000-00000D000000}" name="Şəkil mənbəyi"/>
    <tableColumn id="14" xr3:uid="{00000000-0010-0000-0000-00000E000000}" name="Şəkil lisenziyası"/>
    <tableColumn id="15" xr3:uid="{00000000-0010-0000-0000-00000F000000}" name="Sual mənbəyi"/>
    <tableColumn id="16" xr3:uid="{00000000-0010-0000-0000-000010000000}" name="Status"/>
    <tableColumn id="17" xr3:uid="{00000000-0010-0000-0000-000011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294F"/>
  </sheetPr>
  <dimension ref="A1:Q151"/>
  <sheetViews>
    <sheetView showGridLines="0" tabSelected="1" workbookViewId="0">
      <pane xSplit="2" ySplit="1" topLeftCell="C134" activePane="bottomRight" state="frozen"/>
      <selection pane="topRight"/>
      <selection pane="bottomLeft"/>
      <selection pane="bottomRight" activeCell="B121" sqref="B121:I122"/>
    </sheetView>
  </sheetViews>
  <sheetFormatPr defaultRowHeight="14.25"/>
  <cols>
    <col min="1" max="1" width="12" customWidth="1"/>
    <col min="2" max="2" width="48" customWidth="1"/>
    <col min="3" max="6" width="23" customWidth="1"/>
    <col min="7" max="7" width="15" customWidth="1"/>
    <col min="8" max="8" width="14" customWidth="1"/>
    <col min="9" max="9" width="24" customWidth="1"/>
    <col min="10" max="10" width="42" customWidth="1"/>
    <col min="11" max="11" width="21" customWidth="1"/>
    <col min="12" max="12" width="34" customWidth="1"/>
    <col min="13" max="13" width="38" customWidth="1"/>
    <col min="14" max="14" width="20" customWidth="1"/>
    <col min="15" max="15" width="38" customWidth="1"/>
    <col min="16" max="16" width="16" customWidth="1"/>
    <col min="17" max="17" width="28" customWidth="1"/>
  </cols>
  <sheetData>
    <row r="1" spans="1:17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2.1" customHeight="1">
      <c r="A2" s="3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s">
        <v>4</v>
      </c>
      <c r="H2" s="3" t="s">
        <v>23</v>
      </c>
      <c r="I2" s="2" t="s">
        <v>24</v>
      </c>
      <c r="J2" s="2" t="s">
        <v>25</v>
      </c>
      <c r="K2" s="2"/>
      <c r="L2" s="2"/>
      <c r="M2" s="2"/>
      <c r="N2" s="2"/>
      <c r="O2" s="2" t="s">
        <v>26</v>
      </c>
      <c r="P2" s="3" t="s">
        <v>27</v>
      </c>
      <c r="Q2" s="2" t="s">
        <v>28</v>
      </c>
    </row>
    <row r="3" spans="1:17" ht="32.1" customHeight="1">
      <c r="A3" s="3" t="s">
        <v>29</v>
      </c>
      <c r="B3" s="2" t="s">
        <v>30</v>
      </c>
      <c r="C3" s="2" t="s">
        <v>19</v>
      </c>
      <c r="D3" s="2" t="s">
        <v>31</v>
      </c>
      <c r="E3" s="2" t="s">
        <v>21</v>
      </c>
      <c r="F3" s="2" t="s">
        <v>32</v>
      </c>
      <c r="G3" s="3" t="s">
        <v>2</v>
      </c>
      <c r="H3" s="3" t="s">
        <v>23</v>
      </c>
      <c r="I3" s="2" t="s">
        <v>24</v>
      </c>
      <c r="J3" s="2" t="s">
        <v>33</v>
      </c>
      <c r="K3" s="2"/>
      <c r="L3" s="2"/>
      <c r="M3" s="2"/>
      <c r="N3" s="2"/>
      <c r="O3" s="2" t="s">
        <v>34</v>
      </c>
      <c r="P3" s="3" t="s">
        <v>27</v>
      </c>
      <c r="Q3" s="2" t="s">
        <v>35</v>
      </c>
    </row>
    <row r="4" spans="1:17" ht="32.1" customHeight="1">
      <c r="A4" s="3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3" t="s">
        <v>5</v>
      </c>
      <c r="H4" s="3" t="s">
        <v>23</v>
      </c>
      <c r="I4" s="2" t="s">
        <v>42</v>
      </c>
      <c r="J4" s="2" t="s">
        <v>43</v>
      </c>
      <c r="K4" s="2"/>
      <c r="L4" s="2"/>
      <c r="M4" s="2"/>
      <c r="N4" s="2"/>
      <c r="O4" s="2" t="s">
        <v>44</v>
      </c>
      <c r="P4" s="3" t="s">
        <v>27</v>
      </c>
      <c r="Q4" s="2" t="s">
        <v>45</v>
      </c>
    </row>
    <row r="5" spans="1:17" ht="32.1" customHeight="1">
      <c r="A5" s="3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3" t="s">
        <v>5</v>
      </c>
      <c r="H5" s="3" t="s">
        <v>23</v>
      </c>
      <c r="I5" s="2" t="s">
        <v>52</v>
      </c>
      <c r="J5" s="2" t="s">
        <v>53</v>
      </c>
      <c r="K5" s="2"/>
      <c r="L5" s="2"/>
      <c r="M5" s="2"/>
      <c r="N5" s="2"/>
      <c r="O5" s="2" t="s">
        <v>54</v>
      </c>
      <c r="P5" s="3" t="s">
        <v>27</v>
      </c>
      <c r="Q5" s="2" t="s">
        <v>55</v>
      </c>
    </row>
    <row r="6" spans="1:17" ht="32.1" customHeight="1">
      <c r="A6" s="3" t="s">
        <v>56</v>
      </c>
      <c r="B6" s="2" t="s">
        <v>57</v>
      </c>
      <c r="C6" s="2" t="s">
        <v>48</v>
      </c>
      <c r="D6" s="2" t="s">
        <v>51</v>
      </c>
      <c r="E6" s="2" t="s">
        <v>49</v>
      </c>
      <c r="F6" s="2" t="s">
        <v>50</v>
      </c>
      <c r="G6" s="3" t="s">
        <v>3</v>
      </c>
      <c r="H6" s="3" t="s">
        <v>23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2" t="s">
        <v>64</v>
      </c>
      <c r="P6" s="3" t="s">
        <v>27</v>
      </c>
      <c r="Q6" s="2" t="s">
        <v>65</v>
      </c>
    </row>
    <row r="7" spans="1:17" ht="32.1" customHeight="1">
      <c r="A7" s="3" t="s">
        <v>66</v>
      </c>
      <c r="B7" s="2" t="s">
        <v>67</v>
      </c>
      <c r="C7" s="2" t="s">
        <v>68</v>
      </c>
      <c r="D7" s="2" t="s">
        <v>69</v>
      </c>
      <c r="E7" s="2" t="s">
        <v>38</v>
      </c>
      <c r="F7" s="2" t="s">
        <v>70</v>
      </c>
      <c r="G7" s="3" t="s">
        <v>4</v>
      </c>
      <c r="H7" s="3" t="s">
        <v>23</v>
      </c>
      <c r="I7" s="2" t="s">
        <v>42</v>
      </c>
      <c r="J7" s="2" t="s">
        <v>71</v>
      </c>
      <c r="K7" s="2"/>
      <c r="L7" s="2"/>
      <c r="M7" s="2"/>
      <c r="N7" s="2"/>
      <c r="O7" s="2" t="s">
        <v>72</v>
      </c>
      <c r="P7" s="3" t="s">
        <v>27</v>
      </c>
      <c r="Q7" s="2" t="s">
        <v>73</v>
      </c>
    </row>
    <row r="8" spans="1:17" ht="32.1" customHeight="1">
      <c r="A8" s="3" t="s">
        <v>74</v>
      </c>
      <c r="B8" s="2" t="s">
        <v>75</v>
      </c>
      <c r="C8" s="2" t="s">
        <v>69</v>
      </c>
      <c r="D8" s="2" t="s">
        <v>76</v>
      </c>
      <c r="E8" s="2" t="s">
        <v>68</v>
      </c>
      <c r="F8" s="2" t="s">
        <v>77</v>
      </c>
      <c r="G8" s="3" t="s">
        <v>2</v>
      </c>
      <c r="H8" s="3" t="s">
        <v>23</v>
      </c>
      <c r="I8" s="2" t="s">
        <v>42</v>
      </c>
      <c r="J8" s="2" t="s">
        <v>78</v>
      </c>
      <c r="K8" s="2"/>
      <c r="L8" s="2"/>
      <c r="M8" s="2"/>
      <c r="N8" s="2"/>
      <c r="O8" s="2" t="s">
        <v>79</v>
      </c>
      <c r="P8" s="3" t="s">
        <v>27</v>
      </c>
      <c r="Q8" s="2" t="s">
        <v>80</v>
      </c>
    </row>
    <row r="9" spans="1:17" ht="32.1" customHeight="1">
      <c r="A9" s="3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86</v>
      </c>
      <c r="G9" s="3" t="s">
        <v>3</v>
      </c>
      <c r="H9" s="3" t="s">
        <v>23</v>
      </c>
      <c r="I9" s="2" t="s">
        <v>87</v>
      </c>
      <c r="J9" s="2" t="s">
        <v>88</v>
      </c>
      <c r="K9" s="2"/>
      <c r="L9" s="2"/>
      <c r="M9" s="2"/>
      <c r="N9" s="2"/>
      <c r="O9" s="2" t="s">
        <v>89</v>
      </c>
      <c r="P9" s="3" t="s">
        <v>27</v>
      </c>
      <c r="Q9" s="2" t="s">
        <v>90</v>
      </c>
    </row>
    <row r="10" spans="1:17" ht="32.1" customHeight="1">
      <c r="A10" s="3" t="s">
        <v>91</v>
      </c>
      <c r="B10" s="2" t="s">
        <v>92</v>
      </c>
      <c r="C10" s="2" t="s">
        <v>93</v>
      </c>
      <c r="D10" s="2" t="s">
        <v>38</v>
      </c>
      <c r="E10" s="2" t="s">
        <v>39</v>
      </c>
      <c r="F10" s="2" t="s">
        <v>68</v>
      </c>
      <c r="G10" s="3" t="s">
        <v>5</v>
      </c>
      <c r="H10" s="3" t="s">
        <v>23</v>
      </c>
      <c r="I10" s="2" t="s">
        <v>42</v>
      </c>
      <c r="J10" s="2" t="s">
        <v>94</v>
      </c>
      <c r="K10" s="2"/>
      <c r="L10" s="2"/>
      <c r="M10" s="2"/>
      <c r="N10" s="2"/>
      <c r="O10" s="2" t="s">
        <v>95</v>
      </c>
      <c r="P10" s="3" t="s">
        <v>27</v>
      </c>
      <c r="Q10" s="2" t="s">
        <v>96</v>
      </c>
    </row>
    <row r="11" spans="1:17" ht="32.1" customHeight="1">
      <c r="A11" s="3" t="s">
        <v>97</v>
      </c>
      <c r="B11" s="2" t="s">
        <v>98</v>
      </c>
      <c r="C11" s="2" t="s">
        <v>99</v>
      </c>
      <c r="D11" s="2" t="s">
        <v>68</v>
      </c>
      <c r="E11" s="2" t="s">
        <v>100</v>
      </c>
      <c r="F11" s="2" t="s">
        <v>38</v>
      </c>
      <c r="G11" s="3" t="s">
        <v>3</v>
      </c>
      <c r="H11" s="3" t="s">
        <v>23</v>
      </c>
      <c r="I11" s="2" t="s">
        <v>58</v>
      </c>
      <c r="J11" s="2" t="s">
        <v>101</v>
      </c>
      <c r="K11" s="2" t="s">
        <v>102</v>
      </c>
      <c r="L11" s="2" t="s">
        <v>103</v>
      </c>
      <c r="M11" s="2" t="s">
        <v>104</v>
      </c>
      <c r="N11" s="2" t="s">
        <v>63</v>
      </c>
      <c r="O11" s="2" t="s">
        <v>105</v>
      </c>
      <c r="P11" s="3" t="s">
        <v>27</v>
      </c>
      <c r="Q11" s="2" t="s">
        <v>65</v>
      </c>
    </row>
    <row r="12" spans="1:17" ht="32.1" customHeight="1">
      <c r="A12" s="3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3" t="s">
        <v>5</v>
      </c>
      <c r="H12" s="3" t="s">
        <v>23</v>
      </c>
      <c r="I12" s="2" t="s">
        <v>87</v>
      </c>
      <c r="J12" s="2" t="s">
        <v>112</v>
      </c>
      <c r="K12" s="2"/>
      <c r="L12" s="2"/>
      <c r="M12" s="2"/>
      <c r="N12" s="2"/>
      <c r="O12" s="2" t="s">
        <v>113</v>
      </c>
      <c r="P12" s="3" t="s">
        <v>27</v>
      </c>
      <c r="Q12" s="2" t="s">
        <v>114</v>
      </c>
    </row>
    <row r="13" spans="1:17" ht="32.1" customHeight="1">
      <c r="A13" s="3" t="s">
        <v>115</v>
      </c>
      <c r="B13" s="2" t="s">
        <v>116</v>
      </c>
      <c r="C13" s="2" t="s">
        <v>117</v>
      </c>
      <c r="D13" s="2" t="s">
        <v>118</v>
      </c>
      <c r="E13" s="2" t="s">
        <v>119</v>
      </c>
      <c r="F13" s="2" t="s">
        <v>120</v>
      </c>
      <c r="G13" s="3" t="s">
        <v>2</v>
      </c>
      <c r="H13" s="3" t="s">
        <v>23</v>
      </c>
      <c r="I13" s="2" t="s">
        <v>87</v>
      </c>
      <c r="J13" s="2" t="s">
        <v>121</v>
      </c>
      <c r="K13" s="2"/>
      <c r="L13" s="2"/>
      <c r="M13" s="2"/>
      <c r="N13" s="2"/>
      <c r="O13" s="2" t="s">
        <v>122</v>
      </c>
      <c r="P13" s="3" t="s">
        <v>27</v>
      </c>
      <c r="Q13" s="2" t="s">
        <v>123</v>
      </c>
    </row>
    <row r="14" spans="1:17" ht="32.1" customHeight="1">
      <c r="A14" s="3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3" t="s">
        <v>3</v>
      </c>
      <c r="H14" s="3" t="s">
        <v>23</v>
      </c>
      <c r="I14" s="2" t="s">
        <v>87</v>
      </c>
      <c r="J14" s="2" t="s">
        <v>130</v>
      </c>
      <c r="K14" s="2"/>
      <c r="L14" s="2"/>
      <c r="M14" s="2"/>
      <c r="N14" s="2"/>
      <c r="O14" s="2" t="s">
        <v>131</v>
      </c>
      <c r="P14" s="3" t="s">
        <v>27</v>
      </c>
      <c r="Q14" s="2" t="s">
        <v>132</v>
      </c>
    </row>
    <row r="15" spans="1:17" ht="32.1" customHeight="1">
      <c r="A15" s="3" t="s">
        <v>133</v>
      </c>
      <c r="B15" s="2" t="s">
        <v>134</v>
      </c>
      <c r="C15" s="2" t="s">
        <v>51</v>
      </c>
      <c r="D15" s="2" t="s">
        <v>135</v>
      </c>
      <c r="E15" s="2" t="s">
        <v>41</v>
      </c>
      <c r="F15" s="2" t="s">
        <v>136</v>
      </c>
      <c r="G15" s="3" t="s">
        <v>4</v>
      </c>
      <c r="H15" s="3" t="s">
        <v>23</v>
      </c>
      <c r="I15" s="2" t="s">
        <v>137</v>
      </c>
      <c r="J15" s="2" t="s">
        <v>138</v>
      </c>
      <c r="K15" s="2"/>
      <c r="L15" s="2"/>
      <c r="M15" s="2"/>
      <c r="N15" s="2"/>
      <c r="O15" s="2" t="s">
        <v>139</v>
      </c>
      <c r="P15" s="3" t="s">
        <v>27</v>
      </c>
      <c r="Q15" s="2" t="s">
        <v>140</v>
      </c>
    </row>
    <row r="16" spans="1:17" ht="32.1" customHeight="1">
      <c r="A16" s="3" t="s">
        <v>141</v>
      </c>
      <c r="B16" s="2" t="s">
        <v>142</v>
      </c>
      <c r="C16" s="2" t="s">
        <v>69</v>
      </c>
      <c r="D16" s="2" t="s">
        <v>76</v>
      </c>
      <c r="E16" s="2" t="s">
        <v>143</v>
      </c>
      <c r="F16" s="2" t="s">
        <v>77</v>
      </c>
      <c r="G16" s="3" t="s">
        <v>2</v>
      </c>
      <c r="H16" s="3" t="s">
        <v>23</v>
      </c>
      <c r="I16" s="2" t="s">
        <v>58</v>
      </c>
      <c r="J16" s="2" t="s">
        <v>144</v>
      </c>
      <c r="K16" s="2" t="s">
        <v>145</v>
      </c>
      <c r="L16" s="2" t="s">
        <v>146</v>
      </c>
      <c r="M16" s="2" t="s">
        <v>147</v>
      </c>
      <c r="N16" s="2" t="s">
        <v>63</v>
      </c>
      <c r="O16" s="2" t="s">
        <v>148</v>
      </c>
      <c r="P16" s="3" t="s">
        <v>27</v>
      </c>
      <c r="Q16" s="2" t="s">
        <v>65</v>
      </c>
    </row>
    <row r="17" spans="1:17" ht="32.1" customHeight="1">
      <c r="A17" s="3" t="s">
        <v>149</v>
      </c>
      <c r="B17" s="2" t="s">
        <v>150</v>
      </c>
      <c r="C17" s="2" t="s">
        <v>135</v>
      </c>
      <c r="D17" s="2" t="s">
        <v>151</v>
      </c>
      <c r="E17" s="2" t="s">
        <v>48</v>
      </c>
      <c r="F17" s="2" t="s">
        <v>152</v>
      </c>
      <c r="G17" s="3" t="s">
        <v>2</v>
      </c>
      <c r="H17" s="3" t="s">
        <v>23</v>
      </c>
      <c r="I17" s="2" t="s">
        <v>137</v>
      </c>
      <c r="J17" s="2" t="s">
        <v>153</v>
      </c>
      <c r="K17" s="2"/>
      <c r="L17" s="2"/>
      <c r="M17" s="2"/>
      <c r="N17" s="2"/>
      <c r="O17" s="2" t="s">
        <v>154</v>
      </c>
      <c r="P17" s="3" t="s">
        <v>27</v>
      </c>
      <c r="Q17" s="2" t="s">
        <v>155</v>
      </c>
    </row>
    <row r="18" spans="1:17" ht="32.1" customHeight="1">
      <c r="A18" s="3" t="s">
        <v>156</v>
      </c>
      <c r="B18" s="2" t="s">
        <v>157</v>
      </c>
      <c r="C18" s="2" t="s">
        <v>49</v>
      </c>
      <c r="D18" s="2" t="s">
        <v>77</v>
      </c>
      <c r="E18" s="2" t="s">
        <v>69</v>
      </c>
      <c r="F18" s="2" t="s">
        <v>100</v>
      </c>
      <c r="G18" s="3" t="s">
        <v>5</v>
      </c>
      <c r="H18" s="3" t="s">
        <v>23</v>
      </c>
      <c r="I18" s="2" t="s">
        <v>158</v>
      </c>
      <c r="J18" s="2" t="s">
        <v>159</v>
      </c>
      <c r="K18" s="2"/>
      <c r="L18" s="2"/>
      <c r="M18" s="2"/>
      <c r="N18" s="2"/>
      <c r="O18" s="2" t="s">
        <v>160</v>
      </c>
      <c r="P18" s="3" t="s">
        <v>27</v>
      </c>
      <c r="Q18" s="2" t="s">
        <v>161</v>
      </c>
    </row>
    <row r="19" spans="1:17" ht="32.1" customHeight="1">
      <c r="A19" s="3" t="s">
        <v>162</v>
      </c>
      <c r="B19" s="2" t="s">
        <v>163</v>
      </c>
      <c r="C19" s="2" t="s">
        <v>164</v>
      </c>
      <c r="D19" s="2" t="s">
        <v>136</v>
      </c>
      <c r="E19" s="2" t="s">
        <v>165</v>
      </c>
      <c r="F19" s="2" t="s">
        <v>41</v>
      </c>
      <c r="G19" s="3" t="s">
        <v>3</v>
      </c>
      <c r="H19" s="3" t="s">
        <v>23</v>
      </c>
      <c r="I19" s="2" t="s">
        <v>42</v>
      </c>
      <c r="J19" s="2" t="s">
        <v>166</v>
      </c>
      <c r="K19" s="2"/>
      <c r="L19" s="2"/>
      <c r="M19" s="2"/>
      <c r="N19" s="2"/>
      <c r="O19" s="2" t="s">
        <v>167</v>
      </c>
      <c r="P19" s="3" t="s">
        <v>27</v>
      </c>
      <c r="Q19" s="2" t="s">
        <v>168</v>
      </c>
    </row>
    <row r="20" spans="1:17" ht="32.1" customHeight="1">
      <c r="A20" s="3" t="s">
        <v>169</v>
      </c>
      <c r="B20" s="2" t="s">
        <v>170</v>
      </c>
      <c r="C20" s="2" t="s">
        <v>69</v>
      </c>
      <c r="D20" s="2" t="s">
        <v>19</v>
      </c>
      <c r="E20" s="2" t="s">
        <v>21</v>
      </c>
      <c r="F20" s="2" t="s">
        <v>20</v>
      </c>
      <c r="G20" s="3" t="s">
        <v>4</v>
      </c>
      <c r="H20" s="3" t="s">
        <v>23</v>
      </c>
      <c r="I20" s="2" t="s">
        <v>171</v>
      </c>
      <c r="J20" s="2" t="s">
        <v>172</v>
      </c>
      <c r="K20" s="2"/>
      <c r="L20" s="2"/>
      <c r="M20" s="2"/>
      <c r="N20" s="2"/>
      <c r="O20" s="2" t="s">
        <v>173</v>
      </c>
      <c r="P20" s="3" t="s">
        <v>27</v>
      </c>
      <c r="Q20" s="2" t="s">
        <v>174</v>
      </c>
    </row>
    <row r="21" spans="1:17" ht="32.1" customHeight="1">
      <c r="A21" s="3" t="s">
        <v>175</v>
      </c>
      <c r="B21" s="2" t="s">
        <v>176</v>
      </c>
      <c r="C21" s="2" t="s">
        <v>177</v>
      </c>
      <c r="D21" s="2" t="s">
        <v>39</v>
      </c>
      <c r="E21" s="2" t="s">
        <v>93</v>
      </c>
      <c r="F21" s="2" t="s">
        <v>41</v>
      </c>
      <c r="G21" s="3" t="s">
        <v>5</v>
      </c>
      <c r="H21" s="3" t="s">
        <v>23</v>
      </c>
      <c r="I21" s="2" t="s">
        <v>58</v>
      </c>
      <c r="J21" s="2" t="s">
        <v>178</v>
      </c>
      <c r="K21" s="2" t="s">
        <v>179</v>
      </c>
      <c r="L21" s="2" t="s">
        <v>180</v>
      </c>
      <c r="M21" s="2" t="s">
        <v>181</v>
      </c>
      <c r="N21" s="2" t="s">
        <v>63</v>
      </c>
      <c r="O21" s="2" t="s">
        <v>182</v>
      </c>
      <c r="P21" s="3" t="s">
        <v>27</v>
      </c>
      <c r="Q21" s="2" t="s">
        <v>65</v>
      </c>
    </row>
    <row r="22" spans="1:17" ht="32.1" customHeight="1">
      <c r="A22" s="3" t="s">
        <v>183</v>
      </c>
      <c r="B22" s="2" t="s">
        <v>184</v>
      </c>
      <c r="C22" s="2" t="s">
        <v>51</v>
      </c>
      <c r="D22" s="2" t="s">
        <v>50</v>
      </c>
      <c r="E22" s="2" t="s">
        <v>185</v>
      </c>
      <c r="F22" s="2" t="s">
        <v>99</v>
      </c>
      <c r="G22" s="3" t="s">
        <v>5</v>
      </c>
      <c r="H22" s="3" t="s">
        <v>23</v>
      </c>
      <c r="I22" s="2" t="s">
        <v>186</v>
      </c>
      <c r="J22" s="2" t="s">
        <v>187</v>
      </c>
      <c r="K22" s="2"/>
      <c r="L22" s="2"/>
      <c r="M22" s="2"/>
      <c r="N22" s="2"/>
      <c r="O22" s="2" t="s">
        <v>188</v>
      </c>
      <c r="P22" s="3" t="s">
        <v>27</v>
      </c>
      <c r="Q22" s="2" t="s">
        <v>189</v>
      </c>
    </row>
    <row r="23" spans="1:17" ht="32.1" customHeight="1">
      <c r="A23" s="3" t="s">
        <v>190</v>
      </c>
      <c r="B23" s="2" t="s">
        <v>191</v>
      </c>
      <c r="C23" s="2" t="s">
        <v>192</v>
      </c>
      <c r="D23" s="2" t="s">
        <v>193</v>
      </c>
      <c r="E23" s="2" t="s">
        <v>194</v>
      </c>
      <c r="F23" s="2" t="s">
        <v>195</v>
      </c>
      <c r="G23" s="3" t="s">
        <v>2</v>
      </c>
      <c r="H23" s="3" t="s">
        <v>23</v>
      </c>
      <c r="I23" s="2" t="s">
        <v>24</v>
      </c>
      <c r="J23" s="2" t="s">
        <v>196</v>
      </c>
      <c r="K23" s="2"/>
      <c r="L23" s="2"/>
      <c r="M23" s="2"/>
      <c r="N23" s="2"/>
      <c r="O23" s="2" t="s">
        <v>197</v>
      </c>
      <c r="P23" s="3" t="s">
        <v>27</v>
      </c>
      <c r="Q23" s="2" t="s">
        <v>198</v>
      </c>
    </row>
    <row r="24" spans="1:17" ht="32.1" customHeight="1">
      <c r="A24" s="3" t="s">
        <v>199</v>
      </c>
      <c r="B24" s="2" t="s">
        <v>200</v>
      </c>
      <c r="C24" s="2" t="s">
        <v>201</v>
      </c>
      <c r="D24" s="2" t="s">
        <v>202</v>
      </c>
      <c r="E24" s="2" t="s">
        <v>203</v>
      </c>
      <c r="F24" s="2" t="s">
        <v>108</v>
      </c>
      <c r="G24" s="3" t="s">
        <v>4</v>
      </c>
      <c r="H24" s="3" t="s">
        <v>23</v>
      </c>
      <c r="I24" s="2" t="s">
        <v>87</v>
      </c>
      <c r="J24" s="2" t="s">
        <v>204</v>
      </c>
      <c r="K24" s="2"/>
      <c r="L24" s="2"/>
      <c r="M24" s="2"/>
      <c r="N24" s="2"/>
      <c r="O24" s="2" t="s">
        <v>205</v>
      </c>
      <c r="P24" s="3" t="s">
        <v>27</v>
      </c>
      <c r="Q24" s="2" t="s">
        <v>206</v>
      </c>
    </row>
    <row r="25" spans="1:17" ht="32.1" customHeight="1">
      <c r="A25" s="3" t="s">
        <v>207</v>
      </c>
      <c r="B25" s="2" t="s">
        <v>208</v>
      </c>
      <c r="C25" s="2" t="s">
        <v>126</v>
      </c>
      <c r="D25" s="2" t="s">
        <v>209</v>
      </c>
      <c r="E25" s="2" t="s">
        <v>210</v>
      </c>
      <c r="F25" s="2" t="s">
        <v>211</v>
      </c>
      <c r="G25" s="3" t="s">
        <v>4</v>
      </c>
      <c r="H25" s="3" t="s">
        <v>23</v>
      </c>
      <c r="I25" s="2" t="s">
        <v>87</v>
      </c>
      <c r="J25" s="2" t="s">
        <v>212</v>
      </c>
      <c r="K25" s="2"/>
      <c r="L25" s="2"/>
      <c r="M25" s="2"/>
      <c r="N25" s="2"/>
      <c r="O25" s="2" t="s">
        <v>213</v>
      </c>
      <c r="P25" s="3" t="s">
        <v>27</v>
      </c>
      <c r="Q25" s="2" t="s">
        <v>214</v>
      </c>
    </row>
    <row r="26" spans="1:17" ht="32.1" customHeight="1">
      <c r="A26" s="3" t="s">
        <v>215</v>
      </c>
      <c r="B26" s="2" t="s">
        <v>216</v>
      </c>
      <c r="C26" s="2" t="s">
        <v>217</v>
      </c>
      <c r="D26" s="2" t="s">
        <v>218</v>
      </c>
      <c r="E26" s="2" t="s">
        <v>219</v>
      </c>
      <c r="F26" s="2" t="s">
        <v>220</v>
      </c>
      <c r="G26" s="3" t="s">
        <v>2</v>
      </c>
      <c r="H26" s="3" t="s">
        <v>23</v>
      </c>
      <c r="I26" s="2" t="s">
        <v>58</v>
      </c>
      <c r="J26" s="2" t="s">
        <v>221</v>
      </c>
      <c r="K26" s="2" t="s">
        <v>222</v>
      </c>
      <c r="L26" s="2" t="s">
        <v>223</v>
      </c>
      <c r="M26" s="2" t="s">
        <v>224</v>
      </c>
      <c r="N26" s="2" t="s">
        <v>63</v>
      </c>
      <c r="O26" s="2" t="s">
        <v>225</v>
      </c>
      <c r="P26" s="3" t="s">
        <v>27</v>
      </c>
      <c r="Q26" s="2" t="s">
        <v>65</v>
      </c>
    </row>
    <row r="27" spans="1:17" ht="32.1" customHeight="1">
      <c r="A27" s="3" t="s">
        <v>226</v>
      </c>
      <c r="B27" s="2" t="s">
        <v>227</v>
      </c>
      <c r="C27" s="2" t="s">
        <v>228</v>
      </c>
      <c r="D27" s="2" t="s">
        <v>229</v>
      </c>
      <c r="E27" s="2" t="s">
        <v>230</v>
      </c>
      <c r="F27" s="2" t="s">
        <v>231</v>
      </c>
      <c r="G27" s="3" t="s">
        <v>5</v>
      </c>
      <c r="H27" s="3" t="s">
        <v>23</v>
      </c>
      <c r="I27" s="2" t="s">
        <v>87</v>
      </c>
      <c r="J27" s="2" t="s">
        <v>232</v>
      </c>
      <c r="K27" s="2"/>
      <c r="L27" s="2"/>
      <c r="M27" s="2"/>
      <c r="N27" s="2"/>
      <c r="O27" s="2" t="s">
        <v>233</v>
      </c>
      <c r="P27" s="3" t="s">
        <v>27</v>
      </c>
      <c r="Q27" s="2" t="s">
        <v>234</v>
      </c>
    </row>
    <row r="28" spans="1:17" ht="32.1" customHeight="1">
      <c r="A28" s="3" t="s">
        <v>235</v>
      </c>
      <c r="B28" s="2" t="s">
        <v>236</v>
      </c>
      <c r="C28" s="2" t="s">
        <v>237</v>
      </c>
      <c r="D28" s="2" t="s">
        <v>238</v>
      </c>
      <c r="E28" s="2" t="s">
        <v>239</v>
      </c>
      <c r="F28" s="2" t="s">
        <v>240</v>
      </c>
      <c r="G28" s="3" t="s">
        <v>2</v>
      </c>
      <c r="H28" s="3" t="s">
        <v>23</v>
      </c>
      <c r="I28" s="2" t="s">
        <v>87</v>
      </c>
      <c r="J28" s="2" t="s">
        <v>241</v>
      </c>
      <c r="K28" s="2"/>
      <c r="L28" s="2"/>
      <c r="M28" s="2"/>
      <c r="N28" s="2"/>
      <c r="O28" s="2" t="s">
        <v>242</v>
      </c>
      <c r="P28" s="3" t="s">
        <v>27</v>
      </c>
      <c r="Q28" s="2" t="s">
        <v>243</v>
      </c>
    </row>
    <row r="29" spans="1:17" ht="32.1" customHeight="1">
      <c r="A29" s="3" t="s">
        <v>244</v>
      </c>
      <c r="B29" s="2" t="s">
        <v>245</v>
      </c>
      <c r="C29" s="2" t="s">
        <v>246</v>
      </c>
      <c r="D29" s="2" t="s">
        <v>247</v>
      </c>
      <c r="E29" s="2" t="s">
        <v>248</v>
      </c>
      <c r="F29" s="2" t="s">
        <v>249</v>
      </c>
      <c r="G29" s="3" t="s">
        <v>4</v>
      </c>
      <c r="H29" s="3" t="s">
        <v>23</v>
      </c>
      <c r="I29" s="2" t="s">
        <v>250</v>
      </c>
      <c r="J29" s="2" t="s">
        <v>251</v>
      </c>
      <c r="K29" s="2"/>
      <c r="L29" s="2"/>
      <c r="M29" s="2"/>
      <c r="N29" s="2"/>
      <c r="O29" s="2" t="s">
        <v>252</v>
      </c>
      <c r="P29" s="3" t="s">
        <v>27</v>
      </c>
      <c r="Q29" s="2" t="s">
        <v>253</v>
      </c>
    </row>
    <row r="30" spans="1:17" ht="32.1" customHeight="1">
      <c r="A30" s="3" t="s">
        <v>254</v>
      </c>
      <c r="B30" s="2" t="s">
        <v>255</v>
      </c>
      <c r="C30" s="2" t="s">
        <v>247</v>
      </c>
      <c r="D30" s="2" t="s">
        <v>256</v>
      </c>
      <c r="E30" s="2" t="s">
        <v>257</v>
      </c>
      <c r="F30" s="2" t="s">
        <v>248</v>
      </c>
      <c r="G30" s="3" t="s">
        <v>2</v>
      </c>
      <c r="H30" s="3" t="s">
        <v>23</v>
      </c>
      <c r="I30" s="2" t="s">
        <v>250</v>
      </c>
      <c r="J30" s="2" t="s">
        <v>258</v>
      </c>
      <c r="K30" s="2"/>
      <c r="L30" s="2"/>
      <c r="M30" s="2"/>
      <c r="N30" s="2"/>
      <c r="O30" s="2" t="s">
        <v>259</v>
      </c>
      <c r="P30" s="3" t="s">
        <v>27</v>
      </c>
      <c r="Q30" s="2" t="s">
        <v>260</v>
      </c>
    </row>
    <row r="31" spans="1:17" ht="32.1" customHeight="1">
      <c r="A31" s="3" t="s">
        <v>261</v>
      </c>
      <c r="B31" s="2" t="s">
        <v>262</v>
      </c>
      <c r="C31" s="2" t="s">
        <v>21</v>
      </c>
      <c r="D31" s="2" t="s">
        <v>20</v>
      </c>
      <c r="E31" s="2" t="s">
        <v>19</v>
      </c>
      <c r="F31" s="2" t="s">
        <v>32</v>
      </c>
      <c r="G31" s="3" t="s">
        <v>4</v>
      </c>
      <c r="H31" s="3" t="s">
        <v>23</v>
      </c>
      <c r="I31" s="2" t="s">
        <v>58</v>
      </c>
      <c r="J31" s="2" t="s">
        <v>263</v>
      </c>
      <c r="K31" s="2" t="s">
        <v>264</v>
      </c>
      <c r="L31" s="2" t="s">
        <v>265</v>
      </c>
      <c r="M31" s="2" t="s">
        <v>266</v>
      </c>
      <c r="N31" s="2" t="s">
        <v>63</v>
      </c>
      <c r="O31" s="2" t="s">
        <v>267</v>
      </c>
      <c r="P31" s="3" t="s">
        <v>27</v>
      </c>
      <c r="Q31" s="2" t="s">
        <v>65</v>
      </c>
    </row>
    <row r="32" spans="1:17" ht="32.1" customHeight="1">
      <c r="A32" s="3" t="s">
        <v>268</v>
      </c>
      <c r="B32" s="2" t="s">
        <v>269</v>
      </c>
      <c r="C32" s="2" t="s">
        <v>270</v>
      </c>
      <c r="D32" s="2" t="s">
        <v>271</v>
      </c>
      <c r="E32" s="2" t="s">
        <v>272</v>
      </c>
      <c r="F32" s="2" t="s">
        <v>273</v>
      </c>
      <c r="G32" s="3" t="s">
        <v>2</v>
      </c>
      <c r="H32" s="3" t="s">
        <v>23</v>
      </c>
      <c r="I32" s="2" t="s">
        <v>250</v>
      </c>
      <c r="J32" s="2" t="s">
        <v>274</v>
      </c>
      <c r="K32" s="2"/>
      <c r="L32" s="2"/>
      <c r="M32" s="2"/>
      <c r="N32" s="2"/>
      <c r="O32" s="2" t="s">
        <v>275</v>
      </c>
      <c r="P32" s="3" t="s">
        <v>27</v>
      </c>
      <c r="Q32" s="2" t="s">
        <v>276</v>
      </c>
    </row>
    <row r="33" spans="1:17" ht="32.1" customHeight="1">
      <c r="A33" s="3" t="s">
        <v>277</v>
      </c>
      <c r="B33" s="2" t="s">
        <v>278</v>
      </c>
      <c r="C33" s="2" t="s">
        <v>279</v>
      </c>
      <c r="D33" s="2" t="s">
        <v>280</v>
      </c>
      <c r="E33" s="2" t="s">
        <v>281</v>
      </c>
      <c r="F33" s="2" t="s">
        <v>282</v>
      </c>
      <c r="G33" s="3" t="s">
        <v>5</v>
      </c>
      <c r="H33" s="3" t="s">
        <v>23</v>
      </c>
      <c r="I33" s="2" t="s">
        <v>24</v>
      </c>
      <c r="J33" s="2" t="s">
        <v>283</v>
      </c>
      <c r="K33" s="2"/>
      <c r="L33" s="2"/>
      <c r="M33" s="2"/>
      <c r="N33" s="2"/>
      <c r="O33" s="2" t="s">
        <v>26</v>
      </c>
      <c r="P33" s="3" t="s">
        <v>27</v>
      </c>
      <c r="Q33" s="2" t="s">
        <v>284</v>
      </c>
    </row>
    <row r="34" spans="1:17" ht="32.1" customHeight="1">
      <c r="A34" s="3" t="s">
        <v>285</v>
      </c>
      <c r="B34" s="2" t="s">
        <v>286</v>
      </c>
      <c r="C34" s="2" t="s">
        <v>287</v>
      </c>
      <c r="D34" s="2" t="s">
        <v>288</v>
      </c>
      <c r="E34" s="2" t="s">
        <v>289</v>
      </c>
      <c r="F34" s="2" t="s">
        <v>290</v>
      </c>
      <c r="G34" s="3" t="s">
        <v>3</v>
      </c>
      <c r="H34" s="3" t="s">
        <v>23</v>
      </c>
      <c r="I34" s="2" t="s">
        <v>87</v>
      </c>
      <c r="J34" s="2" t="s">
        <v>291</v>
      </c>
      <c r="K34" s="2"/>
      <c r="L34" s="2"/>
      <c r="M34" s="2"/>
      <c r="N34" s="2"/>
      <c r="O34" s="2" t="s">
        <v>292</v>
      </c>
      <c r="P34" s="3" t="s">
        <v>27</v>
      </c>
      <c r="Q34" s="2" t="s">
        <v>293</v>
      </c>
    </row>
    <row r="35" spans="1:17" ht="32.1" customHeight="1">
      <c r="A35" s="3" t="s">
        <v>294</v>
      </c>
      <c r="B35" s="2" t="s">
        <v>295</v>
      </c>
      <c r="C35" s="2" t="s">
        <v>296</v>
      </c>
      <c r="D35" s="2" t="s">
        <v>297</v>
      </c>
      <c r="E35" s="2" t="s">
        <v>298</v>
      </c>
      <c r="F35" s="2" t="s">
        <v>299</v>
      </c>
      <c r="G35" s="3" t="s">
        <v>2</v>
      </c>
      <c r="H35" s="3" t="s">
        <v>23</v>
      </c>
      <c r="I35" s="2" t="s">
        <v>87</v>
      </c>
      <c r="J35" s="2" t="s">
        <v>300</v>
      </c>
      <c r="K35" s="2"/>
      <c r="L35" s="2"/>
      <c r="M35" s="2"/>
      <c r="N35" s="2"/>
      <c r="O35" s="2" t="s">
        <v>301</v>
      </c>
      <c r="P35" s="3" t="s">
        <v>27</v>
      </c>
      <c r="Q35" s="2" t="s">
        <v>302</v>
      </c>
    </row>
    <row r="36" spans="1:17" ht="32.1" customHeight="1">
      <c r="A36" s="3" t="s">
        <v>303</v>
      </c>
      <c r="B36" s="2" t="s">
        <v>304</v>
      </c>
      <c r="C36" s="2" t="s">
        <v>305</v>
      </c>
      <c r="D36" s="2" t="s">
        <v>220</v>
      </c>
      <c r="E36" s="2" t="s">
        <v>22</v>
      </c>
      <c r="F36" s="2" t="s">
        <v>21</v>
      </c>
      <c r="G36" s="3" t="s">
        <v>5</v>
      </c>
      <c r="H36" s="3" t="s">
        <v>23</v>
      </c>
      <c r="I36" s="2" t="s">
        <v>306</v>
      </c>
      <c r="J36" s="2" t="s">
        <v>307</v>
      </c>
      <c r="K36" s="2" t="s">
        <v>308</v>
      </c>
      <c r="L36" s="2" t="s">
        <v>309</v>
      </c>
      <c r="M36" s="2" t="s">
        <v>310</v>
      </c>
      <c r="N36" s="2" t="s">
        <v>311</v>
      </c>
      <c r="O36" s="2" t="s">
        <v>312</v>
      </c>
      <c r="P36" s="3" t="s">
        <v>27</v>
      </c>
      <c r="Q36" s="2" t="s">
        <v>65</v>
      </c>
    </row>
    <row r="37" spans="1:17" ht="32.1" customHeight="1">
      <c r="A37" s="3" t="s">
        <v>313</v>
      </c>
      <c r="B37" s="2" t="s">
        <v>314</v>
      </c>
      <c r="C37" s="2" t="s">
        <v>315</v>
      </c>
      <c r="D37" s="2" t="s">
        <v>316</v>
      </c>
      <c r="E37" s="2" t="s">
        <v>108</v>
      </c>
      <c r="F37" s="2" t="s">
        <v>317</v>
      </c>
      <c r="G37" s="3" t="s">
        <v>3</v>
      </c>
      <c r="H37" s="3" t="s">
        <v>23</v>
      </c>
      <c r="I37" s="2" t="s">
        <v>87</v>
      </c>
      <c r="J37" s="2" t="s">
        <v>318</v>
      </c>
      <c r="K37" s="2"/>
      <c r="L37" s="2"/>
      <c r="M37" s="2"/>
      <c r="N37" s="2"/>
      <c r="O37" s="2" t="s">
        <v>113</v>
      </c>
      <c r="P37" s="3" t="s">
        <v>27</v>
      </c>
      <c r="Q37" s="2" t="s">
        <v>319</v>
      </c>
    </row>
    <row r="38" spans="1:17" ht="32.1" customHeight="1">
      <c r="A38" s="3" t="s">
        <v>320</v>
      </c>
      <c r="B38" s="2" t="s">
        <v>321</v>
      </c>
      <c r="C38" s="2" t="s">
        <v>32</v>
      </c>
      <c r="D38" s="2" t="s">
        <v>193</v>
      </c>
      <c r="E38" s="2" t="s">
        <v>19</v>
      </c>
      <c r="F38" s="2" t="s">
        <v>20</v>
      </c>
      <c r="G38" s="3" t="s">
        <v>5</v>
      </c>
      <c r="H38" s="3" t="s">
        <v>23</v>
      </c>
      <c r="I38" s="2" t="s">
        <v>24</v>
      </c>
      <c r="J38" s="2" t="s">
        <v>322</v>
      </c>
      <c r="K38" s="2"/>
      <c r="L38" s="2"/>
      <c r="M38" s="2"/>
      <c r="N38" s="2"/>
      <c r="O38" s="2" t="s">
        <v>323</v>
      </c>
      <c r="P38" s="3" t="s">
        <v>27</v>
      </c>
      <c r="Q38" s="2" t="s">
        <v>324</v>
      </c>
    </row>
    <row r="39" spans="1:17" ht="32.1" customHeight="1">
      <c r="A39" s="3" t="s">
        <v>325</v>
      </c>
      <c r="B39" s="2" t="s">
        <v>326</v>
      </c>
      <c r="C39" s="2" t="s">
        <v>218</v>
      </c>
      <c r="D39" s="2" t="s">
        <v>219</v>
      </c>
      <c r="E39" s="2" t="s">
        <v>220</v>
      </c>
      <c r="F39" s="2" t="s">
        <v>217</v>
      </c>
      <c r="G39" s="3" t="s">
        <v>5</v>
      </c>
      <c r="H39" s="3" t="s">
        <v>23</v>
      </c>
      <c r="I39" s="2" t="s">
        <v>24</v>
      </c>
      <c r="J39" s="2" t="s">
        <v>327</v>
      </c>
      <c r="K39" s="2"/>
      <c r="L39" s="2"/>
      <c r="M39" s="2"/>
      <c r="N39" s="2"/>
      <c r="O39" s="2" t="s">
        <v>328</v>
      </c>
      <c r="P39" s="3" t="s">
        <v>27</v>
      </c>
      <c r="Q39" s="2" t="s">
        <v>329</v>
      </c>
    </row>
    <row r="40" spans="1:17" ht="32.1" customHeight="1">
      <c r="A40" s="3" t="s">
        <v>330</v>
      </c>
      <c r="B40" s="2" t="s">
        <v>331</v>
      </c>
      <c r="C40" s="2" t="s">
        <v>332</v>
      </c>
      <c r="D40" s="2" t="s">
        <v>333</v>
      </c>
      <c r="E40" s="2" t="s">
        <v>334</v>
      </c>
      <c r="F40" s="2" t="s">
        <v>335</v>
      </c>
      <c r="G40" s="3" t="s">
        <v>2</v>
      </c>
      <c r="H40" s="3" t="s">
        <v>23</v>
      </c>
      <c r="I40" s="2" t="s">
        <v>42</v>
      </c>
      <c r="J40" s="2" t="s">
        <v>336</v>
      </c>
      <c r="K40" s="2"/>
      <c r="L40" s="2"/>
      <c r="M40" s="2"/>
      <c r="N40" s="2"/>
      <c r="O40" s="2" t="s">
        <v>95</v>
      </c>
      <c r="P40" s="3" t="s">
        <v>27</v>
      </c>
      <c r="Q40" s="2" t="s">
        <v>337</v>
      </c>
    </row>
    <row r="41" spans="1:17" ht="32.1" customHeight="1">
      <c r="A41" s="3" t="s">
        <v>338</v>
      </c>
      <c r="B41" s="2" t="s">
        <v>339</v>
      </c>
      <c r="C41" s="2" t="s">
        <v>340</v>
      </c>
      <c r="D41" s="2" t="s">
        <v>341</v>
      </c>
      <c r="E41" s="2" t="s">
        <v>135</v>
      </c>
      <c r="F41" s="2" t="s">
        <v>151</v>
      </c>
      <c r="G41" s="3" t="s">
        <v>5</v>
      </c>
      <c r="H41" s="3" t="s">
        <v>23</v>
      </c>
      <c r="I41" s="2" t="s">
        <v>58</v>
      </c>
      <c r="J41" s="2" t="s">
        <v>342</v>
      </c>
      <c r="K41" s="2" t="s">
        <v>343</v>
      </c>
      <c r="L41" s="2" t="s">
        <v>344</v>
      </c>
      <c r="M41" s="2" t="s">
        <v>345</v>
      </c>
      <c r="N41" s="2" t="s">
        <v>63</v>
      </c>
      <c r="O41" s="2" t="s">
        <v>346</v>
      </c>
      <c r="P41" s="3" t="s">
        <v>27</v>
      </c>
      <c r="Q41" s="2" t="s">
        <v>65</v>
      </c>
    </row>
    <row r="42" spans="1:17" ht="32.1" customHeight="1">
      <c r="A42" s="3" t="s">
        <v>347</v>
      </c>
      <c r="B42" s="2" t="s">
        <v>348</v>
      </c>
      <c r="C42" s="2" t="s">
        <v>349</v>
      </c>
      <c r="D42" s="2" t="s">
        <v>334</v>
      </c>
      <c r="E42" s="2" t="s">
        <v>350</v>
      </c>
      <c r="F42" s="2" t="s">
        <v>351</v>
      </c>
      <c r="G42" s="3" t="s">
        <v>2</v>
      </c>
      <c r="H42" s="3" t="s">
        <v>23</v>
      </c>
      <c r="I42" s="2" t="s">
        <v>158</v>
      </c>
      <c r="J42" s="2" t="s">
        <v>352</v>
      </c>
      <c r="K42" s="2"/>
      <c r="L42" s="2"/>
      <c r="M42" s="2"/>
      <c r="N42" s="2"/>
      <c r="O42" s="2" t="s">
        <v>79</v>
      </c>
      <c r="P42" s="3" t="s">
        <v>27</v>
      </c>
      <c r="Q42" s="2" t="s">
        <v>353</v>
      </c>
    </row>
    <row r="43" spans="1:17" ht="32.1" customHeight="1">
      <c r="A43" s="3" t="s">
        <v>354</v>
      </c>
      <c r="B43" s="2" t="s">
        <v>355</v>
      </c>
      <c r="C43" s="2" t="s">
        <v>257</v>
      </c>
      <c r="D43" s="2" t="s">
        <v>356</v>
      </c>
      <c r="E43" s="2" t="s">
        <v>249</v>
      </c>
      <c r="F43" s="2" t="s">
        <v>357</v>
      </c>
      <c r="G43" s="3" t="s">
        <v>4</v>
      </c>
      <c r="H43" s="3" t="s">
        <v>23</v>
      </c>
      <c r="I43" s="2" t="s">
        <v>24</v>
      </c>
      <c r="J43" s="2" t="s">
        <v>358</v>
      </c>
      <c r="K43" s="2"/>
      <c r="L43" s="2"/>
      <c r="M43" s="2"/>
      <c r="N43" s="2"/>
      <c r="O43" s="2" t="s">
        <v>359</v>
      </c>
      <c r="P43" s="3" t="s">
        <v>27</v>
      </c>
      <c r="Q43" s="2" t="s">
        <v>360</v>
      </c>
    </row>
    <row r="44" spans="1:17" ht="32.1" customHeight="1">
      <c r="A44" s="3" t="s">
        <v>361</v>
      </c>
      <c r="B44" s="2" t="s">
        <v>362</v>
      </c>
      <c r="C44" s="2" t="s">
        <v>363</v>
      </c>
      <c r="D44" s="2" t="s">
        <v>364</v>
      </c>
      <c r="E44" s="2" t="s">
        <v>365</v>
      </c>
      <c r="F44" s="2" t="s">
        <v>366</v>
      </c>
      <c r="G44" s="3" t="s">
        <v>4</v>
      </c>
      <c r="H44" s="3" t="s">
        <v>23</v>
      </c>
      <c r="I44" s="2" t="s">
        <v>250</v>
      </c>
      <c r="J44" s="2" t="s">
        <v>367</v>
      </c>
      <c r="K44" s="2"/>
      <c r="L44" s="2"/>
      <c r="M44" s="2"/>
      <c r="N44" s="2"/>
      <c r="O44" s="2" t="s">
        <v>368</v>
      </c>
      <c r="P44" s="3" t="s">
        <v>27</v>
      </c>
      <c r="Q44" s="2" t="s">
        <v>369</v>
      </c>
    </row>
    <row r="45" spans="1:17" ht="32.1" customHeight="1">
      <c r="A45" s="3" t="s">
        <v>370</v>
      </c>
      <c r="B45" s="2" t="s">
        <v>371</v>
      </c>
      <c r="C45" s="2" t="s">
        <v>372</v>
      </c>
      <c r="D45" s="2" t="s">
        <v>373</v>
      </c>
      <c r="E45" s="2" t="s">
        <v>374</v>
      </c>
      <c r="F45" s="2" t="s">
        <v>375</v>
      </c>
      <c r="G45" s="3" t="s">
        <v>3</v>
      </c>
      <c r="H45" s="3" t="s">
        <v>23</v>
      </c>
      <c r="I45" s="2" t="s">
        <v>87</v>
      </c>
      <c r="J45" s="2" t="s">
        <v>376</v>
      </c>
      <c r="K45" s="2"/>
      <c r="L45" s="2"/>
      <c r="M45" s="2"/>
      <c r="N45" s="2"/>
      <c r="O45" s="2" t="s">
        <v>377</v>
      </c>
      <c r="P45" s="3" t="s">
        <v>27</v>
      </c>
      <c r="Q45" s="2" t="s">
        <v>378</v>
      </c>
    </row>
    <row r="46" spans="1:17" ht="32.1" customHeight="1">
      <c r="A46" s="3" t="s">
        <v>379</v>
      </c>
      <c r="B46" s="2" t="s">
        <v>380</v>
      </c>
      <c r="C46" s="2" t="s">
        <v>68</v>
      </c>
      <c r="D46" s="2" t="s">
        <v>38</v>
      </c>
      <c r="E46" s="2" t="s">
        <v>70</v>
      </c>
      <c r="F46" s="2" t="s">
        <v>77</v>
      </c>
      <c r="G46" s="3" t="s">
        <v>3</v>
      </c>
      <c r="H46" s="3" t="s">
        <v>23</v>
      </c>
      <c r="I46" s="2" t="s">
        <v>58</v>
      </c>
      <c r="J46" s="2" t="s">
        <v>381</v>
      </c>
      <c r="K46" s="2" t="s">
        <v>382</v>
      </c>
      <c r="L46" s="2" t="s">
        <v>383</v>
      </c>
      <c r="M46" s="2" t="s">
        <v>384</v>
      </c>
      <c r="N46" s="2" t="s">
        <v>63</v>
      </c>
      <c r="O46" s="2" t="s">
        <v>385</v>
      </c>
      <c r="P46" s="3" t="s">
        <v>27</v>
      </c>
      <c r="Q46" s="2" t="s">
        <v>65</v>
      </c>
    </row>
    <row r="47" spans="1:17" ht="32.1" customHeight="1">
      <c r="A47" s="3" t="s">
        <v>386</v>
      </c>
      <c r="B47" s="2" t="s">
        <v>387</v>
      </c>
      <c r="C47" s="2" t="s">
        <v>388</v>
      </c>
      <c r="D47" s="2" t="s">
        <v>389</v>
      </c>
      <c r="E47" s="2" t="s">
        <v>390</v>
      </c>
      <c r="F47" s="2" t="s">
        <v>391</v>
      </c>
      <c r="G47" s="3" t="s">
        <v>5</v>
      </c>
      <c r="H47" s="3" t="s">
        <v>392</v>
      </c>
      <c r="I47" s="2" t="s">
        <v>24</v>
      </c>
      <c r="J47" s="2" t="s">
        <v>393</v>
      </c>
      <c r="K47" s="2"/>
      <c r="L47" s="2"/>
      <c r="M47" s="2"/>
      <c r="N47" s="2"/>
      <c r="O47" s="2" t="s">
        <v>359</v>
      </c>
      <c r="P47" s="3" t="s">
        <v>27</v>
      </c>
      <c r="Q47" s="2" t="s">
        <v>394</v>
      </c>
    </row>
    <row r="48" spans="1:17" ht="32.1" customHeight="1">
      <c r="A48" s="3" t="s">
        <v>395</v>
      </c>
      <c r="B48" s="2" t="s">
        <v>396</v>
      </c>
      <c r="C48" s="2" t="s">
        <v>397</v>
      </c>
      <c r="D48" s="2" t="s">
        <v>398</v>
      </c>
      <c r="E48" s="2" t="s">
        <v>399</v>
      </c>
      <c r="F48" s="2" t="s">
        <v>400</v>
      </c>
      <c r="G48" s="3" t="s">
        <v>3</v>
      </c>
      <c r="H48" s="3" t="s">
        <v>392</v>
      </c>
      <c r="I48" s="2" t="s">
        <v>24</v>
      </c>
      <c r="J48" s="2" t="s">
        <v>401</v>
      </c>
      <c r="K48" s="2"/>
      <c r="L48" s="2"/>
      <c r="M48" s="2"/>
      <c r="N48" s="2"/>
      <c r="O48" s="2" t="s">
        <v>402</v>
      </c>
      <c r="P48" s="3" t="s">
        <v>27</v>
      </c>
      <c r="Q48" s="2" t="s">
        <v>403</v>
      </c>
    </row>
    <row r="49" spans="1:17" ht="32.1" customHeight="1">
      <c r="A49" s="3" t="s">
        <v>404</v>
      </c>
      <c r="B49" s="2" t="s">
        <v>405</v>
      </c>
      <c r="C49" s="2" t="s">
        <v>406</v>
      </c>
      <c r="D49" s="2" t="s">
        <v>407</v>
      </c>
      <c r="E49" s="2" t="s">
        <v>408</v>
      </c>
      <c r="F49" s="2" t="s">
        <v>409</v>
      </c>
      <c r="G49" s="3" t="s">
        <v>2</v>
      </c>
      <c r="H49" s="3" t="s">
        <v>392</v>
      </c>
      <c r="I49" s="2" t="s">
        <v>24</v>
      </c>
      <c r="J49" s="2" t="s">
        <v>410</v>
      </c>
      <c r="K49" s="2"/>
      <c r="L49" s="2"/>
      <c r="M49" s="2"/>
      <c r="N49" s="2"/>
      <c r="O49" s="2" t="s">
        <v>26</v>
      </c>
      <c r="P49" s="3" t="s">
        <v>27</v>
      </c>
      <c r="Q49" s="2" t="s">
        <v>411</v>
      </c>
    </row>
    <row r="50" spans="1:17" ht="32.1" customHeight="1">
      <c r="A50" s="3" t="s">
        <v>412</v>
      </c>
      <c r="B50" s="2" t="s">
        <v>413</v>
      </c>
      <c r="C50" s="2" t="s">
        <v>20</v>
      </c>
      <c r="D50" s="2" t="s">
        <v>19</v>
      </c>
      <c r="E50" s="2" t="s">
        <v>32</v>
      </c>
      <c r="F50" s="2" t="s">
        <v>21</v>
      </c>
      <c r="G50" s="3" t="s">
        <v>3</v>
      </c>
      <c r="H50" s="3" t="s">
        <v>392</v>
      </c>
      <c r="I50" s="2" t="s">
        <v>24</v>
      </c>
      <c r="J50" s="2" t="s">
        <v>414</v>
      </c>
      <c r="K50" s="2"/>
      <c r="L50" s="2"/>
      <c r="M50" s="2"/>
      <c r="N50" s="2"/>
      <c r="O50" s="2" t="s">
        <v>34</v>
      </c>
      <c r="P50" s="3" t="s">
        <v>27</v>
      </c>
      <c r="Q50" s="2" t="s">
        <v>415</v>
      </c>
    </row>
    <row r="51" spans="1:17" ht="32.1" customHeight="1">
      <c r="A51" s="3" t="s">
        <v>416</v>
      </c>
      <c r="B51" s="2" t="s">
        <v>417</v>
      </c>
      <c r="C51" s="2" t="s">
        <v>38</v>
      </c>
      <c r="D51" s="2" t="s">
        <v>77</v>
      </c>
      <c r="E51" s="2" t="s">
        <v>49</v>
      </c>
      <c r="F51" s="2" t="s">
        <v>100</v>
      </c>
      <c r="G51" s="3" t="s">
        <v>5</v>
      </c>
      <c r="H51" s="3" t="s">
        <v>392</v>
      </c>
      <c r="I51" s="2" t="s">
        <v>58</v>
      </c>
      <c r="J51" s="2" t="s">
        <v>418</v>
      </c>
      <c r="K51" s="2" t="s">
        <v>419</v>
      </c>
      <c r="L51" s="2" t="s">
        <v>420</v>
      </c>
      <c r="M51" s="2" t="s">
        <v>421</v>
      </c>
      <c r="N51" s="2" t="s">
        <v>63</v>
      </c>
      <c r="O51" s="2" t="s">
        <v>422</v>
      </c>
      <c r="P51" s="3" t="s">
        <v>27</v>
      </c>
      <c r="Q51" s="2" t="s">
        <v>65</v>
      </c>
    </row>
    <row r="52" spans="1:17" ht="32.1" customHeight="1">
      <c r="A52" s="3" t="s">
        <v>423</v>
      </c>
      <c r="B52" s="2" t="s">
        <v>424</v>
      </c>
      <c r="C52" s="2" t="s">
        <v>425</v>
      </c>
      <c r="D52" s="2" t="s">
        <v>426</v>
      </c>
      <c r="E52" s="2" t="s">
        <v>427</v>
      </c>
      <c r="F52" s="2" t="s">
        <v>428</v>
      </c>
      <c r="G52" s="3" t="s">
        <v>2</v>
      </c>
      <c r="H52" s="3" t="s">
        <v>392</v>
      </c>
      <c r="I52" s="2" t="s">
        <v>24</v>
      </c>
      <c r="J52" s="2" t="s">
        <v>429</v>
      </c>
      <c r="K52" s="2"/>
      <c r="L52" s="2"/>
      <c r="M52" s="2"/>
      <c r="N52" s="2"/>
      <c r="O52" s="2" t="s">
        <v>34</v>
      </c>
      <c r="P52" s="3" t="s">
        <v>27</v>
      </c>
      <c r="Q52" s="2" t="s">
        <v>430</v>
      </c>
    </row>
    <row r="53" spans="1:17" ht="32.1" customHeight="1">
      <c r="A53" s="3" t="s">
        <v>431</v>
      </c>
      <c r="B53" s="2" t="s">
        <v>432</v>
      </c>
      <c r="C53" s="2" t="s">
        <v>433</v>
      </c>
      <c r="D53" s="2" t="s">
        <v>434</v>
      </c>
      <c r="E53" s="2" t="s">
        <v>435</v>
      </c>
      <c r="F53" s="2" t="s">
        <v>436</v>
      </c>
      <c r="G53" s="3" t="s">
        <v>3</v>
      </c>
      <c r="H53" s="3" t="s">
        <v>392</v>
      </c>
      <c r="I53" s="2" t="s">
        <v>24</v>
      </c>
      <c r="J53" s="2" t="s">
        <v>437</v>
      </c>
      <c r="K53" s="2"/>
      <c r="L53" s="2"/>
      <c r="M53" s="2"/>
      <c r="N53" s="2"/>
      <c r="O53" s="2" t="s">
        <v>438</v>
      </c>
      <c r="P53" s="3" t="s">
        <v>27</v>
      </c>
      <c r="Q53" s="2" t="s">
        <v>439</v>
      </c>
    </row>
    <row r="54" spans="1:17" ht="32.1" customHeight="1">
      <c r="A54" s="3" t="s">
        <v>440</v>
      </c>
      <c r="B54" s="2" t="s">
        <v>441</v>
      </c>
      <c r="C54" s="2" t="s">
        <v>32</v>
      </c>
      <c r="D54" s="2" t="s">
        <v>442</v>
      </c>
      <c r="E54" s="2" t="s">
        <v>19</v>
      </c>
      <c r="F54" s="2" t="s">
        <v>20</v>
      </c>
      <c r="G54" s="3" t="s">
        <v>2</v>
      </c>
      <c r="H54" s="3" t="s">
        <v>392</v>
      </c>
      <c r="I54" s="2" t="s">
        <v>24</v>
      </c>
      <c r="J54" s="2" t="s">
        <v>443</v>
      </c>
      <c r="K54" s="2"/>
      <c r="L54" s="2"/>
      <c r="M54" s="2"/>
      <c r="N54" s="2"/>
      <c r="O54" s="2" t="s">
        <v>197</v>
      </c>
      <c r="P54" s="3" t="s">
        <v>27</v>
      </c>
      <c r="Q54" s="2" t="s">
        <v>444</v>
      </c>
    </row>
    <row r="55" spans="1:17" ht="32.1" customHeight="1">
      <c r="A55" s="3" t="s">
        <v>445</v>
      </c>
      <c r="B55" s="2" t="s">
        <v>446</v>
      </c>
      <c r="C55" s="2" t="s">
        <v>447</v>
      </c>
      <c r="D55" s="2" t="s">
        <v>448</v>
      </c>
      <c r="E55" s="2" t="s">
        <v>449</v>
      </c>
      <c r="F55" s="2" t="s">
        <v>450</v>
      </c>
      <c r="G55" s="3" t="s">
        <v>4</v>
      </c>
      <c r="H55" s="3" t="s">
        <v>392</v>
      </c>
      <c r="I55" s="2" t="s">
        <v>24</v>
      </c>
      <c r="J55" s="2" t="s">
        <v>451</v>
      </c>
      <c r="K55" s="2"/>
      <c r="L55" s="2"/>
      <c r="M55" s="2"/>
      <c r="N55" s="2"/>
      <c r="O55" s="2" t="s">
        <v>452</v>
      </c>
      <c r="P55" s="3" t="s">
        <v>27</v>
      </c>
      <c r="Q55" s="2" t="s">
        <v>453</v>
      </c>
    </row>
    <row r="56" spans="1:17" ht="32.1" customHeight="1">
      <c r="A56" s="3" t="s">
        <v>454</v>
      </c>
      <c r="B56" s="2" t="s">
        <v>455</v>
      </c>
      <c r="C56" s="2" t="s">
        <v>99</v>
      </c>
      <c r="D56" s="2" t="s">
        <v>185</v>
      </c>
      <c r="E56" s="2" t="s">
        <v>456</v>
      </c>
      <c r="F56" s="2" t="s">
        <v>50</v>
      </c>
      <c r="G56" s="3" t="s">
        <v>2</v>
      </c>
      <c r="H56" s="3" t="s">
        <v>392</v>
      </c>
      <c r="I56" s="2" t="s">
        <v>58</v>
      </c>
      <c r="J56" s="2" t="s">
        <v>457</v>
      </c>
      <c r="K56" s="2" t="s">
        <v>458</v>
      </c>
      <c r="L56" s="2" t="s">
        <v>459</v>
      </c>
      <c r="M56" s="2" t="s">
        <v>460</v>
      </c>
      <c r="N56" s="2" t="s">
        <v>63</v>
      </c>
      <c r="O56" s="2" t="s">
        <v>461</v>
      </c>
      <c r="P56" s="3" t="s">
        <v>27</v>
      </c>
      <c r="Q56" s="2" t="s">
        <v>65</v>
      </c>
    </row>
    <row r="57" spans="1:17" ht="32.1" customHeight="1">
      <c r="A57" s="3" t="s">
        <v>462</v>
      </c>
      <c r="B57" s="2" t="s">
        <v>463</v>
      </c>
      <c r="C57" s="2" t="s">
        <v>464</v>
      </c>
      <c r="D57" s="2" t="s">
        <v>465</v>
      </c>
      <c r="E57" s="2" t="s">
        <v>466</v>
      </c>
      <c r="F57" s="2" t="s">
        <v>467</v>
      </c>
      <c r="G57" s="3" t="s">
        <v>3</v>
      </c>
      <c r="H57" s="3" t="s">
        <v>392</v>
      </c>
      <c r="I57" s="2" t="s">
        <v>24</v>
      </c>
      <c r="J57" s="2" t="s">
        <v>468</v>
      </c>
      <c r="K57" s="2"/>
      <c r="L57" s="2"/>
      <c r="M57" s="2"/>
      <c r="N57" s="2"/>
      <c r="O57" s="2" t="s">
        <v>452</v>
      </c>
      <c r="P57" s="3" t="s">
        <v>27</v>
      </c>
      <c r="Q57" s="2" t="s">
        <v>469</v>
      </c>
    </row>
    <row r="58" spans="1:17" ht="32.1" customHeight="1">
      <c r="A58" s="3" t="s">
        <v>470</v>
      </c>
      <c r="B58" s="2" t="s">
        <v>471</v>
      </c>
      <c r="C58" s="2" t="s">
        <v>472</v>
      </c>
      <c r="D58" s="2" t="s">
        <v>473</v>
      </c>
      <c r="E58" s="2" t="s">
        <v>474</v>
      </c>
      <c r="F58" s="2" t="s">
        <v>475</v>
      </c>
      <c r="G58" s="3" t="s">
        <v>2</v>
      </c>
      <c r="H58" s="3" t="s">
        <v>392</v>
      </c>
      <c r="I58" s="2" t="s">
        <v>171</v>
      </c>
      <c r="J58" s="2" t="s">
        <v>476</v>
      </c>
      <c r="K58" s="2"/>
      <c r="L58" s="2"/>
      <c r="M58" s="2"/>
      <c r="N58" s="2"/>
      <c r="O58" s="2" t="s">
        <v>328</v>
      </c>
      <c r="P58" s="3" t="s">
        <v>27</v>
      </c>
      <c r="Q58" s="2" t="s">
        <v>477</v>
      </c>
    </row>
    <row r="59" spans="1:17" ht="32.1" customHeight="1">
      <c r="A59" s="3" t="s">
        <v>478</v>
      </c>
      <c r="B59" s="2" t="s">
        <v>479</v>
      </c>
      <c r="C59" s="2" t="s">
        <v>135</v>
      </c>
      <c r="D59" s="2" t="s">
        <v>151</v>
      </c>
      <c r="E59" s="2" t="s">
        <v>40</v>
      </c>
      <c r="F59" s="2" t="s">
        <v>340</v>
      </c>
      <c r="G59" s="3" t="s">
        <v>3</v>
      </c>
      <c r="H59" s="3" t="s">
        <v>392</v>
      </c>
      <c r="I59" s="2" t="s">
        <v>480</v>
      </c>
      <c r="J59" s="2" t="s">
        <v>481</v>
      </c>
      <c r="K59" s="2"/>
      <c r="L59" s="2"/>
      <c r="M59" s="2"/>
      <c r="N59" s="2"/>
      <c r="O59" s="2" t="s">
        <v>482</v>
      </c>
      <c r="P59" s="3" t="s">
        <v>27</v>
      </c>
      <c r="Q59" s="2" t="s">
        <v>483</v>
      </c>
    </row>
    <row r="60" spans="1:17" ht="32.1" customHeight="1">
      <c r="A60" s="3" t="s">
        <v>484</v>
      </c>
      <c r="B60" s="2" t="s">
        <v>485</v>
      </c>
      <c r="C60" s="2" t="s">
        <v>151</v>
      </c>
      <c r="D60" s="2" t="s">
        <v>39</v>
      </c>
      <c r="E60" s="2" t="s">
        <v>93</v>
      </c>
      <c r="F60" s="2" t="s">
        <v>40</v>
      </c>
      <c r="G60" s="3" t="s">
        <v>5</v>
      </c>
      <c r="H60" s="3" t="s">
        <v>392</v>
      </c>
      <c r="I60" s="2" t="s">
        <v>42</v>
      </c>
      <c r="J60" s="2" t="s">
        <v>486</v>
      </c>
      <c r="K60" s="2"/>
      <c r="L60" s="2"/>
      <c r="M60" s="2"/>
      <c r="N60" s="2"/>
      <c r="O60" s="2" t="s">
        <v>487</v>
      </c>
      <c r="P60" s="3" t="s">
        <v>27</v>
      </c>
      <c r="Q60" s="2" t="s">
        <v>488</v>
      </c>
    </row>
    <row r="61" spans="1:17" ht="32.1" customHeight="1">
      <c r="A61" s="3" t="s">
        <v>489</v>
      </c>
      <c r="B61" s="2" t="s">
        <v>490</v>
      </c>
      <c r="C61" s="2" t="s">
        <v>177</v>
      </c>
      <c r="D61" s="2" t="s">
        <v>135</v>
      </c>
      <c r="E61" s="2" t="s">
        <v>40</v>
      </c>
      <c r="F61" s="2" t="s">
        <v>39</v>
      </c>
      <c r="G61" s="3" t="s">
        <v>4</v>
      </c>
      <c r="H61" s="3" t="s">
        <v>392</v>
      </c>
      <c r="I61" s="2" t="s">
        <v>58</v>
      </c>
      <c r="J61" s="2" t="s">
        <v>491</v>
      </c>
      <c r="K61" s="2" t="s">
        <v>492</v>
      </c>
      <c r="L61" s="2" t="s">
        <v>493</v>
      </c>
      <c r="M61" s="2" t="s">
        <v>494</v>
      </c>
      <c r="N61" s="2" t="s">
        <v>63</v>
      </c>
      <c r="O61" s="2" t="s">
        <v>495</v>
      </c>
      <c r="P61" s="3" t="s">
        <v>27</v>
      </c>
      <c r="Q61" s="2" t="s">
        <v>65</v>
      </c>
    </row>
    <row r="62" spans="1:17" ht="32.1" customHeight="1">
      <c r="A62" s="3" t="s">
        <v>496</v>
      </c>
      <c r="B62" s="2" t="s">
        <v>497</v>
      </c>
      <c r="C62" s="2" t="s">
        <v>38</v>
      </c>
      <c r="D62" s="2" t="s">
        <v>41</v>
      </c>
      <c r="E62" s="2" t="s">
        <v>40</v>
      </c>
      <c r="F62" s="2" t="s">
        <v>39</v>
      </c>
      <c r="G62" s="3" t="s">
        <v>5</v>
      </c>
      <c r="H62" s="3" t="s">
        <v>392</v>
      </c>
      <c r="I62" s="2" t="s">
        <v>42</v>
      </c>
      <c r="J62" s="2" t="s">
        <v>498</v>
      </c>
      <c r="K62" s="2"/>
      <c r="L62" s="2"/>
      <c r="M62" s="2"/>
      <c r="N62" s="2"/>
      <c r="O62" s="2" t="s">
        <v>499</v>
      </c>
      <c r="P62" s="3" t="s">
        <v>27</v>
      </c>
      <c r="Q62" s="2" t="s">
        <v>500</v>
      </c>
    </row>
    <row r="63" spans="1:17" ht="32.1" customHeight="1">
      <c r="A63" s="3" t="s">
        <v>501</v>
      </c>
      <c r="B63" s="2" t="s">
        <v>502</v>
      </c>
      <c r="C63" s="2" t="s">
        <v>503</v>
      </c>
      <c r="D63" s="2" t="s">
        <v>456</v>
      </c>
      <c r="E63" s="2" t="s">
        <v>93</v>
      </c>
      <c r="F63" s="2" t="s">
        <v>185</v>
      </c>
      <c r="G63" s="3" t="s">
        <v>4</v>
      </c>
      <c r="H63" s="3" t="s">
        <v>392</v>
      </c>
      <c r="I63" s="2" t="s">
        <v>480</v>
      </c>
      <c r="J63" s="2" t="s">
        <v>504</v>
      </c>
      <c r="K63" s="2"/>
      <c r="L63" s="2"/>
      <c r="M63" s="2"/>
      <c r="N63" s="2"/>
      <c r="O63" s="2" t="s">
        <v>505</v>
      </c>
      <c r="P63" s="3" t="s">
        <v>27</v>
      </c>
      <c r="Q63" s="2" t="s">
        <v>506</v>
      </c>
    </row>
    <row r="64" spans="1:17" ht="32.1" customHeight="1">
      <c r="A64" s="3" t="s">
        <v>507</v>
      </c>
      <c r="B64" s="2" t="s">
        <v>508</v>
      </c>
      <c r="C64" s="2" t="s">
        <v>185</v>
      </c>
      <c r="D64" s="2" t="s">
        <v>39</v>
      </c>
      <c r="E64" s="2" t="s">
        <v>99</v>
      </c>
      <c r="F64" s="2" t="s">
        <v>41</v>
      </c>
      <c r="G64" s="3" t="s">
        <v>5</v>
      </c>
      <c r="H64" s="3" t="s">
        <v>392</v>
      </c>
      <c r="I64" s="2" t="s">
        <v>480</v>
      </c>
      <c r="J64" s="2" t="s">
        <v>509</v>
      </c>
      <c r="K64" s="2"/>
      <c r="L64" s="2"/>
      <c r="M64" s="2"/>
      <c r="N64" s="2"/>
      <c r="O64" s="2" t="s">
        <v>44</v>
      </c>
      <c r="P64" s="3" t="s">
        <v>27</v>
      </c>
      <c r="Q64" s="2" t="s">
        <v>510</v>
      </c>
    </row>
    <row r="65" spans="1:17" ht="32.1" customHeight="1">
      <c r="A65" s="3" t="s">
        <v>511</v>
      </c>
      <c r="B65" s="2" t="s">
        <v>512</v>
      </c>
      <c r="C65" s="2" t="s">
        <v>185</v>
      </c>
      <c r="D65" s="2" t="s">
        <v>93</v>
      </c>
      <c r="E65" s="2" t="s">
        <v>41</v>
      </c>
      <c r="F65" s="2" t="s">
        <v>456</v>
      </c>
      <c r="G65" s="3" t="s">
        <v>4</v>
      </c>
      <c r="H65" s="3" t="s">
        <v>392</v>
      </c>
      <c r="I65" s="2" t="s">
        <v>480</v>
      </c>
      <c r="J65" s="2" t="s">
        <v>513</v>
      </c>
      <c r="K65" s="2"/>
      <c r="L65" s="2"/>
      <c r="M65" s="2"/>
      <c r="N65" s="2"/>
      <c r="O65" s="2" t="s">
        <v>44</v>
      </c>
      <c r="P65" s="3" t="s">
        <v>27</v>
      </c>
      <c r="Q65" s="2" t="s">
        <v>514</v>
      </c>
    </row>
    <row r="66" spans="1:17" ht="32.1" customHeight="1">
      <c r="A66" s="3" t="s">
        <v>515</v>
      </c>
      <c r="B66" s="2" t="s">
        <v>516</v>
      </c>
      <c r="C66" s="2" t="s">
        <v>41</v>
      </c>
      <c r="D66" s="2" t="s">
        <v>177</v>
      </c>
      <c r="E66" s="2" t="s">
        <v>40</v>
      </c>
      <c r="F66" s="2" t="s">
        <v>39</v>
      </c>
      <c r="G66" s="3" t="s">
        <v>5</v>
      </c>
      <c r="H66" s="3" t="s">
        <v>392</v>
      </c>
      <c r="I66" s="2" t="s">
        <v>58</v>
      </c>
      <c r="J66" s="2" t="s">
        <v>517</v>
      </c>
      <c r="K66" s="2" t="s">
        <v>518</v>
      </c>
      <c r="L66" s="2" t="s">
        <v>519</v>
      </c>
      <c r="M66" s="2" t="s">
        <v>520</v>
      </c>
      <c r="N66" s="2" t="s">
        <v>63</v>
      </c>
      <c r="O66" s="2" t="s">
        <v>521</v>
      </c>
      <c r="P66" s="3" t="s">
        <v>27</v>
      </c>
      <c r="Q66" s="2" t="s">
        <v>65</v>
      </c>
    </row>
    <row r="67" spans="1:17" ht="32.1" customHeight="1">
      <c r="A67" s="3" t="s">
        <v>522</v>
      </c>
      <c r="B67" s="2" t="s">
        <v>523</v>
      </c>
      <c r="C67" s="2" t="s">
        <v>334</v>
      </c>
      <c r="D67" s="2" t="s">
        <v>335</v>
      </c>
      <c r="E67" s="2" t="s">
        <v>524</v>
      </c>
      <c r="F67" s="2" t="s">
        <v>333</v>
      </c>
      <c r="G67" s="3" t="s">
        <v>3</v>
      </c>
      <c r="H67" s="3" t="s">
        <v>392</v>
      </c>
      <c r="I67" s="2" t="s">
        <v>52</v>
      </c>
      <c r="J67" s="2" t="s">
        <v>525</v>
      </c>
      <c r="K67" s="2"/>
      <c r="L67" s="2"/>
      <c r="M67" s="2"/>
      <c r="N67" s="2"/>
      <c r="O67" s="2" t="s">
        <v>54</v>
      </c>
      <c r="P67" s="3" t="s">
        <v>27</v>
      </c>
      <c r="Q67" s="2" t="s">
        <v>526</v>
      </c>
    </row>
    <row r="68" spans="1:17" ht="32.1" customHeight="1">
      <c r="A68" s="3" t="s">
        <v>527</v>
      </c>
      <c r="B68" s="2" t="s">
        <v>528</v>
      </c>
      <c r="C68" s="2" t="s">
        <v>99</v>
      </c>
      <c r="D68" s="2" t="s">
        <v>39</v>
      </c>
      <c r="E68" s="2" t="s">
        <v>68</v>
      </c>
      <c r="F68" s="2" t="s">
        <v>38</v>
      </c>
      <c r="G68" s="3" t="s">
        <v>2</v>
      </c>
      <c r="H68" s="3" t="s">
        <v>392</v>
      </c>
      <c r="I68" s="2" t="s">
        <v>42</v>
      </c>
      <c r="J68" s="2" t="s">
        <v>529</v>
      </c>
      <c r="K68" s="2"/>
      <c r="L68" s="2"/>
      <c r="M68" s="2"/>
      <c r="N68" s="2"/>
      <c r="O68" s="2" t="s">
        <v>188</v>
      </c>
      <c r="P68" s="3" t="s">
        <v>27</v>
      </c>
      <c r="Q68" s="2" t="s">
        <v>530</v>
      </c>
    </row>
    <row r="69" spans="1:17" ht="32.1" customHeight="1">
      <c r="A69" s="3" t="s">
        <v>531</v>
      </c>
      <c r="B69" s="2" t="s">
        <v>532</v>
      </c>
      <c r="C69" s="2" t="s">
        <v>185</v>
      </c>
      <c r="D69" s="2" t="s">
        <v>177</v>
      </c>
      <c r="E69" s="2" t="s">
        <v>99</v>
      </c>
      <c r="F69" s="2" t="s">
        <v>50</v>
      </c>
      <c r="G69" s="3" t="s">
        <v>2</v>
      </c>
      <c r="H69" s="3" t="s">
        <v>392</v>
      </c>
      <c r="I69" s="2" t="s">
        <v>480</v>
      </c>
      <c r="J69" s="2" t="s">
        <v>533</v>
      </c>
      <c r="K69" s="2"/>
      <c r="L69" s="2"/>
      <c r="M69" s="2"/>
      <c r="N69" s="2"/>
      <c r="O69" s="2" t="s">
        <v>534</v>
      </c>
      <c r="P69" s="3" t="s">
        <v>27</v>
      </c>
      <c r="Q69" s="2" t="s">
        <v>535</v>
      </c>
    </row>
    <row r="70" spans="1:17" ht="32.1" customHeight="1">
      <c r="A70" s="3" t="s">
        <v>536</v>
      </c>
      <c r="B70" s="2" t="s">
        <v>537</v>
      </c>
      <c r="C70" s="2" t="s">
        <v>39</v>
      </c>
      <c r="D70" s="2" t="s">
        <v>68</v>
      </c>
      <c r="E70" s="2" t="s">
        <v>38</v>
      </c>
      <c r="F70" s="2" t="s">
        <v>69</v>
      </c>
      <c r="G70" s="3" t="s">
        <v>3</v>
      </c>
      <c r="H70" s="3" t="s">
        <v>392</v>
      </c>
      <c r="I70" s="2" t="s">
        <v>42</v>
      </c>
      <c r="J70" s="2" t="s">
        <v>538</v>
      </c>
      <c r="K70" s="2"/>
      <c r="L70" s="2"/>
      <c r="M70" s="2"/>
      <c r="N70" s="2"/>
      <c r="O70" s="2" t="s">
        <v>95</v>
      </c>
      <c r="P70" s="3" t="s">
        <v>27</v>
      </c>
      <c r="Q70" s="2" t="s">
        <v>539</v>
      </c>
    </row>
    <row r="71" spans="1:17" ht="32.1" customHeight="1">
      <c r="A71" s="3" t="s">
        <v>540</v>
      </c>
      <c r="B71" s="2" t="s">
        <v>541</v>
      </c>
      <c r="C71" s="2" t="s">
        <v>542</v>
      </c>
      <c r="D71" s="2" t="s">
        <v>456</v>
      </c>
      <c r="E71" s="2" t="s">
        <v>503</v>
      </c>
      <c r="F71" s="2" t="s">
        <v>543</v>
      </c>
      <c r="G71" s="3" t="s">
        <v>4</v>
      </c>
      <c r="H71" s="3" t="s">
        <v>392</v>
      </c>
      <c r="I71" s="2" t="s">
        <v>58</v>
      </c>
      <c r="J71" s="2" t="s">
        <v>544</v>
      </c>
      <c r="K71" s="2" t="s">
        <v>545</v>
      </c>
      <c r="L71" s="2" t="s">
        <v>546</v>
      </c>
      <c r="M71" s="2" t="s">
        <v>547</v>
      </c>
      <c r="N71" s="2" t="s">
        <v>63</v>
      </c>
      <c r="O71" s="2" t="s">
        <v>548</v>
      </c>
      <c r="P71" s="3" t="s">
        <v>27</v>
      </c>
      <c r="Q71" s="2" t="s">
        <v>65</v>
      </c>
    </row>
    <row r="72" spans="1:17" ht="32.1" customHeight="1">
      <c r="A72" s="3" t="s">
        <v>549</v>
      </c>
      <c r="B72" s="2" t="s">
        <v>550</v>
      </c>
      <c r="C72" s="2" t="s">
        <v>551</v>
      </c>
      <c r="D72" s="2" t="s">
        <v>552</v>
      </c>
      <c r="E72" s="2" t="s">
        <v>553</v>
      </c>
      <c r="F72" s="2" t="s">
        <v>554</v>
      </c>
      <c r="G72" s="3" t="s">
        <v>4</v>
      </c>
      <c r="H72" s="3" t="s">
        <v>392</v>
      </c>
      <c r="I72" s="2" t="s">
        <v>87</v>
      </c>
      <c r="J72" s="2" t="s">
        <v>555</v>
      </c>
      <c r="K72" s="2"/>
      <c r="L72" s="2"/>
      <c r="M72" s="2"/>
      <c r="N72" s="2"/>
      <c r="O72" s="2" t="s">
        <v>89</v>
      </c>
      <c r="P72" s="3" t="s">
        <v>27</v>
      </c>
      <c r="Q72" s="2" t="s">
        <v>556</v>
      </c>
    </row>
    <row r="73" spans="1:17" ht="32.1" customHeight="1">
      <c r="A73" s="3" t="s">
        <v>557</v>
      </c>
      <c r="B73" s="2" t="s">
        <v>558</v>
      </c>
      <c r="C73" s="2" t="s">
        <v>68</v>
      </c>
      <c r="D73" s="2" t="s">
        <v>99</v>
      </c>
      <c r="E73" s="2" t="s">
        <v>69</v>
      </c>
      <c r="F73" s="2" t="s">
        <v>38</v>
      </c>
      <c r="G73" s="3" t="s">
        <v>5</v>
      </c>
      <c r="H73" s="3" t="s">
        <v>392</v>
      </c>
      <c r="I73" s="2" t="s">
        <v>42</v>
      </c>
      <c r="J73" s="2" t="s">
        <v>559</v>
      </c>
      <c r="K73" s="2"/>
      <c r="L73" s="2"/>
      <c r="M73" s="2"/>
      <c r="N73" s="2"/>
      <c r="O73" s="2" t="s">
        <v>72</v>
      </c>
      <c r="P73" s="3" t="s">
        <v>27</v>
      </c>
      <c r="Q73" s="2" t="s">
        <v>560</v>
      </c>
    </row>
    <row r="74" spans="1:17" ht="32.1" customHeight="1">
      <c r="A74" s="3" t="s">
        <v>561</v>
      </c>
      <c r="B74" s="2" t="s">
        <v>562</v>
      </c>
      <c r="C74" s="2" t="s">
        <v>220</v>
      </c>
      <c r="D74" s="2" t="s">
        <v>305</v>
      </c>
      <c r="E74" s="2" t="s">
        <v>21</v>
      </c>
      <c r="F74" s="2" t="s">
        <v>22</v>
      </c>
      <c r="G74" s="3" t="s">
        <v>3</v>
      </c>
      <c r="H74" s="3" t="s">
        <v>392</v>
      </c>
      <c r="I74" s="2" t="s">
        <v>24</v>
      </c>
      <c r="J74" s="2" t="s">
        <v>563</v>
      </c>
      <c r="K74" s="2"/>
      <c r="L74" s="2"/>
      <c r="M74" s="2"/>
      <c r="N74" s="2"/>
      <c r="O74" s="2" t="s">
        <v>564</v>
      </c>
      <c r="P74" s="3" t="s">
        <v>27</v>
      </c>
      <c r="Q74" s="2" t="s">
        <v>565</v>
      </c>
    </row>
    <row r="75" spans="1:17" ht="32.1" customHeight="1">
      <c r="A75" s="3" t="s">
        <v>566</v>
      </c>
      <c r="B75" s="2" t="s">
        <v>567</v>
      </c>
      <c r="C75" s="2" t="s">
        <v>77</v>
      </c>
      <c r="D75" s="2" t="s">
        <v>76</v>
      </c>
      <c r="E75" s="2" t="s">
        <v>100</v>
      </c>
      <c r="F75" s="2" t="s">
        <v>69</v>
      </c>
      <c r="G75" s="3" t="s">
        <v>2</v>
      </c>
      <c r="H75" s="3" t="s">
        <v>392</v>
      </c>
      <c r="I75" s="2" t="s">
        <v>158</v>
      </c>
      <c r="J75" s="2" t="s">
        <v>568</v>
      </c>
      <c r="K75" s="2"/>
      <c r="L75" s="2"/>
      <c r="M75" s="2"/>
      <c r="N75" s="2"/>
      <c r="O75" s="2" t="s">
        <v>569</v>
      </c>
      <c r="P75" s="3" t="s">
        <v>27</v>
      </c>
      <c r="Q75" s="2" t="s">
        <v>570</v>
      </c>
    </row>
    <row r="76" spans="1:17" ht="32.1" customHeight="1">
      <c r="A76" s="3" t="s">
        <v>571</v>
      </c>
      <c r="B76" s="2" t="s">
        <v>572</v>
      </c>
      <c r="C76" s="2" t="s">
        <v>185</v>
      </c>
      <c r="D76" s="2" t="s">
        <v>93</v>
      </c>
      <c r="E76" s="2" t="s">
        <v>99</v>
      </c>
      <c r="F76" s="2" t="s">
        <v>573</v>
      </c>
      <c r="G76" s="3" t="s">
        <v>3</v>
      </c>
      <c r="H76" s="3" t="s">
        <v>392</v>
      </c>
      <c r="I76" s="2" t="s">
        <v>58</v>
      </c>
      <c r="J76" s="2" t="s">
        <v>574</v>
      </c>
      <c r="K76" s="2" t="s">
        <v>575</v>
      </c>
      <c r="L76" s="2" t="s">
        <v>576</v>
      </c>
      <c r="M76" s="2" t="s">
        <v>577</v>
      </c>
      <c r="N76" s="2" t="s">
        <v>63</v>
      </c>
      <c r="O76" s="2" t="s">
        <v>578</v>
      </c>
      <c r="P76" s="3" t="s">
        <v>27</v>
      </c>
      <c r="Q76" s="2" t="s">
        <v>65</v>
      </c>
    </row>
    <row r="77" spans="1:17" ht="32.1" customHeight="1">
      <c r="A77" s="3" t="s">
        <v>579</v>
      </c>
      <c r="B77" s="2" t="s">
        <v>580</v>
      </c>
      <c r="C77" s="2" t="s">
        <v>49</v>
      </c>
      <c r="D77" s="2" t="s">
        <v>100</v>
      </c>
      <c r="E77" s="2" t="s">
        <v>68</v>
      </c>
      <c r="F77" s="2" t="s">
        <v>77</v>
      </c>
      <c r="G77" s="3" t="s">
        <v>3</v>
      </c>
      <c r="H77" s="3" t="s">
        <v>392</v>
      </c>
      <c r="I77" s="2" t="s">
        <v>158</v>
      </c>
      <c r="J77" s="2" t="s">
        <v>581</v>
      </c>
      <c r="K77" s="2"/>
      <c r="L77" s="2"/>
      <c r="M77" s="2"/>
      <c r="N77" s="2"/>
      <c r="O77" s="2" t="s">
        <v>582</v>
      </c>
      <c r="P77" s="3" t="s">
        <v>27</v>
      </c>
      <c r="Q77" s="2" t="s">
        <v>583</v>
      </c>
    </row>
    <row r="78" spans="1:17" ht="32.1" customHeight="1">
      <c r="A78" s="3" t="s">
        <v>584</v>
      </c>
      <c r="B78" s="2" t="s">
        <v>585</v>
      </c>
      <c r="C78" s="2" t="s">
        <v>503</v>
      </c>
      <c r="D78" s="2" t="s">
        <v>542</v>
      </c>
      <c r="E78" s="2" t="s">
        <v>543</v>
      </c>
      <c r="F78" s="2" t="s">
        <v>456</v>
      </c>
      <c r="G78" s="3" t="s">
        <v>2</v>
      </c>
      <c r="H78" s="3" t="s">
        <v>392</v>
      </c>
      <c r="I78" s="2" t="s">
        <v>480</v>
      </c>
      <c r="J78" s="2" t="s">
        <v>586</v>
      </c>
      <c r="K78" s="2"/>
      <c r="L78" s="2"/>
      <c r="M78" s="2"/>
      <c r="N78" s="2"/>
      <c r="O78" s="2" t="s">
        <v>587</v>
      </c>
      <c r="P78" s="3" t="s">
        <v>27</v>
      </c>
      <c r="Q78" s="2" t="s">
        <v>588</v>
      </c>
    </row>
    <row r="79" spans="1:17" ht="32.1" customHeight="1">
      <c r="A79" s="3" t="s">
        <v>589</v>
      </c>
      <c r="B79" s="2" t="s">
        <v>590</v>
      </c>
      <c r="C79" s="2" t="s">
        <v>591</v>
      </c>
      <c r="D79" s="2" t="s">
        <v>143</v>
      </c>
      <c r="E79" s="2" t="s">
        <v>592</v>
      </c>
      <c r="F79" s="2" t="s">
        <v>593</v>
      </c>
      <c r="G79" s="3" t="s">
        <v>2</v>
      </c>
      <c r="H79" s="3" t="s">
        <v>392</v>
      </c>
      <c r="I79" s="2" t="s">
        <v>158</v>
      </c>
      <c r="J79" s="2" t="s">
        <v>594</v>
      </c>
      <c r="K79" s="2"/>
      <c r="L79" s="2"/>
      <c r="M79" s="2"/>
      <c r="N79" s="2"/>
      <c r="O79" s="2" t="s">
        <v>595</v>
      </c>
      <c r="P79" s="3" t="s">
        <v>27</v>
      </c>
      <c r="Q79" s="2" t="s">
        <v>596</v>
      </c>
    </row>
    <row r="80" spans="1:17" ht="32.1" customHeight="1">
      <c r="A80" s="3" t="s">
        <v>597</v>
      </c>
      <c r="B80" s="2" t="s">
        <v>598</v>
      </c>
      <c r="C80" s="2" t="s">
        <v>599</v>
      </c>
      <c r="D80" s="2" t="s">
        <v>542</v>
      </c>
      <c r="E80" s="2" t="s">
        <v>70</v>
      </c>
      <c r="F80" s="2" t="s">
        <v>543</v>
      </c>
      <c r="G80" s="3" t="s">
        <v>3</v>
      </c>
      <c r="H80" s="3" t="s">
        <v>392</v>
      </c>
      <c r="I80" s="2" t="s">
        <v>480</v>
      </c>
      <c r="J80" s="2" t="s">
        <v>600</v>
      </c>
      <c r="K80" s="2"/>
      <c r="L80" s="2"/>
      <c r="M80" s="2"/>
      <c r="N80" s="2"/>
      <c r="O80" s="2" t="s">
        <v>601</v>
      </c>
      <c r="P80" s="3" t="s">
        <v>27</v>
      </c>
      <c r="Q80" s="2" t="s">
        <v>602</v>
      </c>
    </row>
    <row r="81" spans="1:17" ht="32.1" customHeight="1">
      <c r="A81" s="3" t="s">
        <v>603</v>
      </c>
      <c r="B81" s="2" t="s">
        <v>604</v>
      </c>
      <c r="C81" s="2" t="s">
        <v>341</v>
      </c>
      <c r="D81" s="2" t="s">
        <v>51</v>
      </c>
      <c r="E81" s="2" t="s">
        <v>466</v>
      </c>
      <c r="F81" s="2" t="s">
        <v>48</v>
      </c>
      <c r="G81" s="3" t="s">
        <v>5</v>
      </c>
      <c r="H81" s="3" t="s">
        <v>392</v>
      </c>
      <c r="I81" s="2" t="s">
        <v>58</v>
      </c>
      <c r="J81" s="2" t="s">
        <v>605</v>
      </c>
      <c r="K81" s="2" t="s">
        <v>606</v>
      </c>
      <c r="L81" s="2" t="s">
        <v>607</v>
      </c>
      <c r="M81" s="2" t="s">
        <v>608</v>
      </c>
      <c r="N81" s="2" t="s">
        <v>63</v>
      </c>
      <c r="O81" s="2" t="s">
        <v>609</v>
      </c>
      <c r="P81" s="3" t="s">
        <v>27</v>
      </c>
      <c r="Q81" s="2" t="s">
        <v>65</v>
      </c>
    </row>
    <row r="82" spans="1:17" ht="32.1" customHeight="1">
      <c r="A82" s="3" t="s">
        <v>610</v>
      </c>
      <c r="B82" s="2" t="s">
        <v>611</v>
      </c>
      <c r="C82" s="2" t="s">
        <v>612</v>
      </c>
      <c r="D82" s="2" t="s">
        <v>599</v>
      </c>
      <c r="E82" s="2" t="s">
        <v>613</v>
      </c>
      <c r="F82" s="2" t="s">
        <v>614</v>
      </c>
      <c r="G82" s="3" t="s">
        <v>3</v>
      </c>
      <c r="H82" s="3" t="s">
        <v>392</v>
      </c>
      <c r="I82" s="2" t="s">
        <v>42</v>
      </c>
      <c r="J82" s="2" t="s">
        <v>615</v>
      </c>
      <c r="K82" s="2"/>
      <c r="L82" s="2"/>
      <c r="M82" s="2"/>
      <c r="N82" s="2"/>
      <c r="O82" s="2" t="s">
        <v>616</v>
      </c>
      <c r="P82" s="3" t="s">
        <v>27</v>
      </c>
      <c r="Q82" s="2" t="s">
        <v>617</v>
      </c>
    </row>
    <row r="83" spans="1:17" ht="32.1" customHeight="1">
      <c r="A83" s="3" t="s">
        <v>618</v>
      </c>
      <c r="B83" s="2" t="s">
        <v>619</v>
      </c>
      <c r="C83" s="2" t="s">
        <v>613</v>
      </c>
      <c r="D83" s="2" t="s">
        <v>620</v>
      </c>
      <c r="E83" s="2" t="s">
        <v>621</v>
      </c>
      <c r="F83" s="2" t="s">
        <v>76</v>
      </c>
      <c r="G83" s="3" t="s">
        <v>2</v>
      </c>
      <c r="H83" s="3" t="s">
        <v>392</v>
      </c>
      <c r="I83" s="2" t="s">
        <v>158</v>
      </c>
      <c r="J83" s="2" t="s">
        <v>622</v>
      </c>
      <c r="K83" s="2"/>
      <c r="L83" s="2"/>
      <c r="M83" s="2"/>
      <c r="N83" s="2"/>
      <c r="O83" s="2" t="s">
        <v>623</v>
      </c>
      <c r="P83" s="3" t="s">
        <v>27</v>
      </c>
      <c r="Q83" s="2" t="s">
        <v>624</v>
      </c>
    </row>
    <row r="84" spans="1:17" ht="32.1" customHeight="1">
      <c r="A84" s="3" t="s">
        <v>625</v>
      </c>
      <c r="B84" s="2" t="s">
        <v>626</v>
      </c>
      <c r="C84" s="2" t="s">
        <v>627</v>
      </c>
      <c r="D84" s="2" t="s">
        <v>628</v>
      </c>
      <c r="E84" s="2" t="s">
        <v>629</v>
      </c>
      <c r="F84" s="2" t="s">
        <v>614</v>
      </c>
      <c r="G84" s="3" t="s">
        <v>5</v>
      </c>
      <c r="H84" s="3" t="s">
        <v>392</v>
      </c>
      <c r="I84" s="2" t="s">
        <v>480</v>
      </c>
      <c r="J84" s="2" t="s">
        <v>630</v>
      </c>
      <c r="K84" s="2"/>
      <c r="L84" s="2"/>
      <c r="M84" s="2"/>
      <c r="N84" s="2"/>
      <c r="O84" s="2" t="s">
        <v>631</v>
      </c>
      <c r="P84" s="3" t="s">
        <v>27</v>
      </c>
      <c r="Q84" s="2" t="s">
        <v>632</v>
      </c>
    </row>
    <row r="85" spans="1:17" ht="32.1" customHeight="1">
      <c r="A85" s="3" t="s">
        <v>633</v>
      </c>
      <c r="B85" s="2" t="s">
        <v>634</v>
      </c>
      <c r="C85" s="2" t="s">
        <v>635</v>
      </c>
      <c r="D85" s="2" t="s">
        <v>636</v>
      </c>
      <c r="E85" s="2" t="s">
        <v>637</v>
      </c>
      <c r="F85" s="2" t="s">
        <v>638</v>
      </c>
      <c r="G85" s="3" t="s">
        <v>3</v>
      </c>
      <c r="H85" s="3" t="s">
        <v>392</v>
      </c>
      <c r="I85" s="2" t="s">
        <v>171</v>
      </c>
      <c r="J85" s="2" t="s">
        <v>639</v>
      </c>
      <c r="K85" s="2"/>
      <c r="L85" s="2"/>
      <c r="M85" s="2"/>
      <c r="N85" s="2"/>
      <c r="O85" s="2" t="s">
        <v>631</v>
      </c>
      <c r="P85" s="3" t="s">
        <v>27</v>
      </c>
      <c r="Q85" s="2" t="s">
        <v>640</v>
      </c>
    </row>
    <row r="86" spans="1:17" ht="32.1" customHeight="1">
      <c r="A86" s="3" t="s">
        <v>641</v>
      </c>
      <c r="B86" s="2" t="s">
        <v>642</v>
      </c>
      <c r="C86" s="2" t="s">
        <v>100</v>
      </c>
      <c r="D86" s="2" t="s">
        <v>49</v>
      </c>
      <c r="E86" s="2" t="s">
        <v>68</v>
      </c>
      <c r="F86" s="2" t="s">
        <v>50</v>
      </c>
      <c r="G86" s="3" t="s">
        <v>3</v>
      </c>
      <c r="H86" s="3" t="s">
        <v>392</v>
      </c>
      <c r="I86" s="2" t="s">
        <v>58</v>
      </c>
      <c r="J86" s="2" t="s">
        <v>643</v>
      </c>
      <c r="K86" s="2" t="s">
        <v>644</v>
      </c>
      <c r="L86" s="2" t="s">
        <v>645</v>
      </c>
      <c r="M86" s="2" t="s">
        <v>646</v>
      </c>
      <c r="N86" s="2" t="s">
        <v>63</v>
      </c>
      <c r="O86" s="2" t="s">
        <v>647</v>
      </c>
      <c r="P86" s="3" t="s">
        <v>27</v>
      </c>
      <c r="Q86" s="2" t="s">
        <v>65</v>
      </c>
    </row>
    <row r="87" spans="1:17" ht="32.1" customHeight="1">
      <c r="A87" s="3" t="s">
        <v>648</v>
      </c>
      <c r="B87" s="2" t="s">
        <v>649</v>
      </c>
      <c r="C87" s="2" t="s">
        <v>629</v>
      </c>
      <c r="D87" s="2" t="s">
        <v>627</v>
      </c>
      <c r="E87" s="2" t="s">
        <v>650</v>
      </c>
      <c r="F87" s="2" t="s">
        <v>614</v>
      </c>
      <c r="G87" s="3" t="s">
        <v>2</v>
      </c>
      <c r="H87" s="3" t="s">
        <v>392</v>
      </c>
      <c r="I87" s="2" t="s">
        <v>480</v>
      </c>
      <c r="J87" s="2" t="s">
        <v>651</v>
      </c>
      <c r="K87" s="2"/>
      <c r="L87" s="2"/>
      <c r="M87" s="2"/>
      <c r="N87" s="2"/>
      <c r="O87" s="2" t="s">
        <v>652</v>
      </c>
      <c r="P87" s="3" t="s">
        <v>27</v>
      </c>
      <c r="Q87" s="2" t="s">
        <v>653</v>
      </c>
    </row>
    <row r="88" spans="1:17" ht="32.1" customHeight="1">
      <c r="A88" s="3" t="s">
        <v>654</v>
      </c>
      <c r="B88" s="2" t="s">
        <v>655</v>
      </c>
      <c r="C88" s="2" t="s">
        <v>656</v>
      </c>
      <c r="D88" s="2" t="s">
        <v>599</v>
      </c>
      <c r="E88" s="2" t="s">
        <v>657</v>
      </c>
      <c r="F88" s="2" t="s">
        <v>658</v>
      </c>
      <c r="G88" s="3" t="s">
        <v>5</v>
      </c>
      <c r="H88" s="3" t="s">
        <v>392</v>
      </c>
      <c r="I88" s="2" t="s">
        <v>480</v>
      </c>
      <c r="J88" s="2" t="s">
        <v>659</v>
      </c>
      <c r="K88" s="2"/>
      <c r="L88" s="2"/>
      <c r="M88" s="2"/>
      <c r="N88" s="2"/>
      <c r="O88" s="2" t="s">
        <v>660</v>
      </c>
      <c r="P88" s="3" t="s">
        <v>27</v>
      </c>
      <c r="Q88" s="2" t="s">
        <v>661</v>
      </c>
    </row>
    <row r="89" spans="1:17" ht="32.1" customHeight="1">
      <c r="A89" s="3" t="s">
        <v>662</v>
      </c>
      <c r="B89" s="2" t="s">
        <v>663</v>
      </c>
      <c r="C89" s="2" t="s">
        <v>664</v>
      </c>
      <c r="D89" s="2" t="s">
        <v>614</v>
      </c>
      <c r="E89" s="2" t="s">
        <v>627</v>
      </c>
      <c r="F89" s="2" t="s">
        <v>629</v>
      </c>
      <c r="G89" s="3" t="s">
        <v>4</v>
      </c>
      <c r="H89" s="3" t="s">
        <v>392</v>
      </c>
      <c r="I89" s="2" t="s">
        <v>480</v>
      </c>
      <c r="J89" s="2" t="s">
        <v>665</v>
      </c>
      <c r="K89" s="2"/>
      <c r="L89" s="2"/>
      <c r="M89" s="2"/>
      <c r="N89" s="2"/>
      <c r="O89" s="2" t="s">
        <v>666</v>
      </c>
      <c r="P89" s="3" t="s">
        <v>27</v>
      </c>
      <c r="Q89" s="2" t="s">
        <v>667</v>
      </c>
    </row>
    <row r="90" spans="1:17" ht="32.1" customHeight="1">
      <c r="A90" s="3" t="s">
        <v>668</v>
      </c>
      <c r="B90" s="2" t="s">
        <v>669</v>
      </c>
      <c r="C90" s="2" t="s">
        <v>670</v>
      </c>
      <c r="D90" s="2" t="s">
        <v>671</v>
      </c>
      <c r="E90" s="2" t="s">
        <v>467</v>
      </c>
      <c r="F90" s="2" t="s">
        <v>464</v>
      </c>
      <c r="G90" s="3" t="s">
        <v>5</v>
      </c>
      <c r="H90" s="3" t="s">
        <v>392</v>
      </c>
      <c r="I90" s="2" t="s">
        <v>87</v>
      </c>
      <c r="J90" s="2" t="s">
        <v>672</v>
      </c>
      <c r="K90" s="2"/>
      <c r="L90" s="2"/>
      <c r="M90" s="2"/>
      <c r="N90" s="2"/>
      <c r="O90" s="2" t="s">
        <v>673</v>
      </c>
      <c r="P90" s="3" t="s">
        <v>27</v>
      </c>
      <c r="Q90" s="2" t="s">
        <v>674</v>
      </c>
    </row>
    <row r="91" spans="1:17" ht="32.1" customHeight="1">
      <c r="A91" s="3" t="s">
        <v>675</v>
      </c>
      <c r="B91" s="2" t="s">
        <v>676</v>
      </c>
      <c r="C91" s="2" t="s">
        <v>50</v>
      </c>
      <c r="D91" s="2" t="s">
        <v>51</v>
      </c>
      <c r="E91" s="2" t="s">
        <v>49</v>
      </c>
      <c r="F91" s="2" t="s">
        <v>99</v>
      </c>
      <c r="G91" s="3" t="s">
        <v>2</v>
      </c>
      <c r="H91" s="3" t="s">
        <v>392</v>
      </c>
      <c r="I91" s="2" t="s">
        <v>58</v>
      </c>
      <c r="J91" s="2" t="s">
        <v>677</v>
      </c>
      <c r="K91" s="2" t="s">
        <v>678</v>
      </c>
      <c r="L91" s="2" t="s">
        <v>679</v>
      </c>
      <c r="M91" s="2" t="s">
        <v>680</v>
      </c>
      <c r="N91" s="2" t="s">
        <v>63</v>
      </c>
      <c r="O91" s="2" t="s">
        <v>681</v>
      </c>
      <c r="P91" s="3" t="s">
        <v>27</v>
      </c>
      <c r="Q91" s="2" t="s">
        <v>65</v>
      </c>
    </row>
    <row r="92" spans="1:17" ht="32.1" customHeight="1">
      <c r="A92" s="3" t="s">
        <v>682</v>
      </c>
      <c r="B92" s="2" t="s">
        <v>683</v>
      </c>
      <c r="C92" s="2" t="s">
        <v>219</v>
      </c>
      <c r="D92" s="2" t="s">
        <v>220</v>
      </c>
      <c r="E92" s="2" t="s">
        <v>217</v>
      </c>
      <c r="F92" s="2" t="s">
        <v>218</v>
      </c>
      <c r="G92" s="3" t="s">
        <v>3</v>
      </c>
      <c r="H92" s="3" t="s">
        <v>392</v>
      </c>
      <c r="I92" s="2" t="s">
        <v>24</v>
      </c>
      <c r="J92" s="2" t="s">
        <v>684</v>
      </c>
      <c r="K92" s="2"/>
      <c r="L92" s="2"/>
      <c r="M92" s="2"/>
      <c r="N92" s="2"/>
      <c r="O92" s="2" t="s">
        <v>252</v>
      </c>
      <c r="P92" s="3" t="s">
        <v>27</v>
      </c>
      <c r="Q92" s="2" t="s">
        <v>685</v>
      </c>
    </row>
    <row r="93" spans="1:17" ht="32.1" customHeight="1">
      <c r="A93" s="3" t="s">
        <v>686</v>
      </c>
      <c r="B93" s="2" t="s">
        <v>687</v>
      </c>
      <c r="C93" s="2" t="s">
        <v>151</v>
      </c>
      <c r="D93" s="2" t="s">
        <v>466</v>
      </c>
      <c r="E93" s="2" t="s">
        <v>341</v>
      </c>
      <c r="F93" s="2" t="s">
        <v>48</v>
      </c>
      <c r="G93" s="3" t="s">
        <v>4</v>
      </c>
      <c r="H93" s="3" t="s">
        <v>392</v>
      </c>
      <c r="I93" s="2" t="s">
        <v>24</v>
      </c>
      <c r="J93" s="2" t="s">
        <v>688</v>
      </c>
      <c r="K93" s="2"/>
      <c r="L93" s="2"/>
      <c r="M93" s="2"/>
      <c r="N93" s="2"/>
      <c r="O93" s="2" t="s">
        <v>689</v>
      </c>
      <c r="P93" s="3" t="s">
        <v>27</v>
      </c>
      <c r="Q93" s="2" t="s">
        <v>690</v>
      </c>
    </row>
    <row r="94" spans="1:17" ht="32.1" customHeight="1">
      <c r="A94" s="3" t="s">
        <v>691</v>
      </c>
      <c r="B94" s="2" t="s">
        <v>692</v>
      </c>
      <c r="C94" s="2" t="s">
        <v>151</v>
      </c>
      <c r="D94" s="2" t="s">
        <v>340</v>
      </c>
      <c r="E94" s="2" t="s">
        <v>135</v>
      </c>
      <c r="F94" s="2" t="s">
        <v>341</v>
      </c>
      <c r="G94" s="3" t="s">
        <v>3</v>
      </c>
      <c r="H94" s="3" t="s">
        <v>392</v>
      </c>
      <c r="I94" s="2" t="s">
        <v>693</v>
      </c>
      <c r="J94" s="2" t="s">
        <v>694</v>
      </c>
      <c r="K94" s="2"/>
      <c r="L94" s="2"/>
      <c r="M94" s="2"/>
      <c r="N94" s="2"/>
      <c r="O94" s="2" t="s">
        <v>695</v>
      </c>
      <c r="P94" s="3" t="s">
        <v>27</v>
      </c>
      <c r="Q94" s="2" t="s">
        <v>696</v>
      </c>
    </row>
    <row r="95" spans="1:17" ht="32.1" customHeight="1">
      <c r="A95" s="3" t="s">
        <v>697</v>
      </c>
      <c r="B95" s="2" t="s">
        <v>698</v>
      </c>
      <c r="C95" s="2" t="s">
        <v>699</v>
      </c>
      <c r="D95" s="2" t="s">
        <v>700</v>
      </c>
      <c r="E95" s="2" t="s">
        <v>701</v>
      </c>
      <c r="F95" s="2" t="s">
        <v>702</v>
      </c>
      <c r="G95" s="3" t="s">
        <v>5</v>
      </c>
      <c r="H95" s="3" t="s">
        <v>392</v>
      </c>
      <c r="I95" s="2" t="s">
        <v>87</v>
      </c>
      <c r="J95" s="2" t="s">
        <v>703</v>
      </c>
      <c r="K95" s="2"/>
      <c r="L95" s="2"/>
      <c r="M95" s="2"/>
      <c r="N95" s="2"/>
      <c r="O95" s="2" t="s">
        <v>113</v>
      </c>
      <c r="P95" s="3" t="s">
        <v>27</v>
      </c>
      <c r="Q95" s="2" t="s">
        <v>704</v>
      </c>
    </row>
    <row r="96" spans="1:17" ht="32.1" customHeight="1">
      <c r="A96" s="3" t="s">
        <v>705</v>
      </c>
      <c r="B96" s="2" t="s">
        <v>706</v>
      </c>
      <c r="C96" s="2" t="s">
        <v>217</v>
      </c>
      <c r="D96" s="2" t="s">
        <v>466</v>
      </c>
      <c r="E96" s="2" t="s">
        <v>31</v>
      </c>
      <c r="F96" s="2" t="s">
        <v>465</v>
      </c>
      <c r="G96" s="3" t="s">
        <v>4</v>
      </c>
      <c r="H96" s="3" t="s">
        <v>392</v>
      </c>
      <c r="I96" s="2" t="s">
        <v>306</v>
      </c>
      <c r="J96" s="2" t="s">
        <v>707</v>
      </c>
      <c r="K96" s="2" t="s">
        <v>708</v>
      </c>
      <c r="L96" s="2" t="s">
        <v>709</v>
      </c>
      <c r="M96" s="2" t="s">
        <v>710</v>
      </c>
      <c r="N96" s="2" t="s">
        <v>711</v>
      </c>
      <c r="O96" s="2" t="s">
        <v>712</v>
      </c>
      <c r="P96" s="3" t="s">
        <v>27</v>
      </c>
      <c r="Q96" s="2" t="s">
        <v>713</v>
      </c>
    </row>
    <row r="97" spans="1:17" ht="32.1" customHeight="1">
      <c r="A97" s="3" t="s">
        <v>714</v>
      </c>
      <c r="B97" s="2" t="s">
        <v>715</v>
      </c>
      <c r="C97" s="2" t="s">
        <v>716</v>
      </c>
      <c r="D97" s="2" t="s">
        <v>717</v>
      </c>
      <c r="E97" s="2" t="s">
        <v>718</v>
      </c>
      <c r="F97" s="2" t="s">
        <v>719</v>
      </c>
      <c r="G97" s="3" t="s">
        <v>3</v>
      </c>
      <c r="H97" s="3" t="s">
        <v>392</v>
      </c>
      <c r="I97" s="2" t="s">
        <v>24</v>
      </c>
      <c r="J97" s="2" t="s">
        <v>720</v>
      </c>
      <c r="K97" s="2"/>
      <c r="L97" s="2"/>
      <c r="M97" s="2"/>
      <c r="N97" s="2"/>
      <c r="O97" s="2" t="s">
        <v>34</v>
      </c>
      <c r="P97" s="3" t="s">
        <v>27</v>
      </c>
      <c r="Q97" s="2" t="s">
        <v>721</v>
      </c>
    </row>
    <row r="98" spans="1:17" ht="32.1" customHeight="1">
      <c r="A98" s="3" t="s">
        <v>722</v>
      </c>
      <c r="B98" s="2" t="s">
        <v>723</v>
      </c>
      <c r="C98" s="2" t="s">
        <v>335</v>
      </c>
      <c r="D98" s="2" t="s">
        <v>333</v>
      </c>
      <c r="E98" s="2" t="s">
        <v>724</v>
      </c>
      <c r="F98" s="2" t="s">
        <v>725</v>
      </c>
      <c r="G98" s="3" t="s">
        <v>3</v>
      </c>
      <c r="H98" s="3" t="s">
        <v>392</v>
      </c>
      <c r="I98" s="2" t="s">
        <v>24</v>
      </c>
      <c r="J98" s="2" t="s">
        <v>726</v>
      </c>
      <c r="K98" s="2"/>
      <c r="L98" s="2"/>
      <c r="M98" s="2"/>
      <c r="N98" s="2"/>
      <c r="O98" s="2" t="s">
        <v>26</v>
      </c>
      <c r="P98" s="3" t="s">
        <v>27</v>
      </c>
      <c r="Q98" s="2" t="s">
        <v>727</v>
      </c>
    </row>
    <row r="99" spans="1:17" ht="32.1" customHeight="1">
      <c r="A99" s="3" t="s">
        <v>728</v>
      </c>
      <c r="B99" s="2" t="s">
        <v>729</v>
      </c>
      <c r="C99" s="2" t="s">
        <v>599</v>
      </c>
      <c r="D99" s="2" t="s">
        <v>656</v>
      </c>
      <c r="E99" s="2" t="s">
        <v>70</v>
      </c>
      <c r="F99" s="2" t="s">
        <v>543</v>
      </c>
      <c r="G99" s="3" t="s">
        <v>4</v>
      </c>
      <c r="H99" s="3" t="s">
        <v>392</v>
      </c>
      <c r="I99" s="2" t="s">
        <v>480</v>
      </c>
      <c r="J99" s="2" t="s">
        <v>730</v>
      </c>
      <c r="K99" s="2"/>
      <c r="L99" s="2"/>
      <c r="M99" s="2"/>
      <c r="N99" s="2"/>
      <c r="O99" s="2" t="s">
        <v>731</v>
      </c>
      <c r="P99" s="3" t="s">
        <v>27</v>
      </c>
      <c r="Q99" s="2" t="s">
        <v>732</v>
      </c>
    </row>
    <row r="100" spans="1:17" ht="32.1" customHeight="1">
      <c r="A100" s="3" t="s">
        <v>733</v>
      </c>
      <c r="B100" s="2" t="s">
        <v>734</v>
      </c>
      <c r="C100" s="2" t="s">
        <v>735</v>
      </c>
      <c r="D100" s="2" t="s">
        <v>736</v>
      </c>
      <c r="E100" s="2" t="s">
        <v>737</v>
      </c>
      <c r="F100" s="2" t="s">
        <v>738</v>
      </c>
      <c r="G100" s="3" t="s">
        <v>3</v>
      </c>
      <c r="H100" s="3" t="s">
        <v>392</v>
      </c>
      <c r="I100" s="2" t="s">
        <v>24</v>
      </c>
      <c r="J100" s="2" t="s">
        <v>739</v>
      </c>
      <c r="K100" s="2"/>
      <c r="L100" s="2"/>
      <c r="M100" s="2"/>
      <c r="N100" s="2"/>
      <c r="O100" s="2" t="s">
        <v>740</v>
      </c>
      <c r="P100" s="3" t="s">
        <v>27</v>
      </c>
      <c r="Q100" s="2" t="s">
        <v>741</v>
      </c>
    </row>
    <row r="101" spans="1:17" ht="32.1" customHeight="1">
      <c r="A101" s="3" t="s">
        <v>742</v>
      </c>
      <c r="B101" s="2" t="s">
        <v>743</v>
      </c>
      <c r="C101" s="2" t="s">
        <v>524</v>
      </c>
      <c r="D101" s="2" t="s">
        <v>725</v>
      </c>
      <c r="E101" s="2" t="s">
        <v>335</v>
      </c>
      <c r="F101" s="2" t="s">
        <v>744</v>
      </c>
      <c r="G101" s="3" t="s">
        <v>5</v>
      </c>
      <c r="H101" s="3" t="s">
        <v>392</v>
      </c>
      <c r="I101" s="2" t="s">
        <v>137</v>
      </c>
      <c r="J101" s="2" t="s">
        <v>745</v>
      </c>
      <c r="K101" s="2" t="s">
        <v>746</v>
      </c>
      <c r="L101" s="2" t="s">
        <v>747</v>
      </c>
      <c r="M101" s="2" t="s">
        <v>748</v>
      </c>
      <c r="N101" s="2" t="s">
        <v>63</v>
      </c>
      <c r="O101" s="2" t="s">
        <v>749</v>
      </c>
      <c r="P101" s="3" t="s">
        <v>27</v>
      </c>
      <c r="Q101" s="2" t="s">
        <v>750</v>
      </c>
    </row>
    <row r="102" spans="1:17" ht="32.1" customHeight="1">
      <c r="A102" s="3" t="s">
        <v>751</v>
      </c>
      <c r="B102" s="2" t="s">
        <v>752</v>
      </c>
      <c r="C102" s="2" t="s">
        <v>593</v>
      </c>
      <c r="D102" s="2" t="s">
        <v>591</v>
      </c>
      <c r="E102" s="2" t="s">
        <v>69</v>
      </c>
      <c r="F102" s="2" t="s">
        <v>143</v>
      </c>
      <c r="G102" s="3" t="s">
        <v>2</v>
      </c>
      <c r="H102" s="3" t="s">
        <v>392</v>
      </c>
      <c r="I102" s="2" t="s">
        <v>158</v>
      </c>
      <c r="J102" s="2" t="s">
        <v>753</v>
      </c>
      <c r="K102" s="2"/>
      <c r="L102" s="2"/>
      <c r="M102" s="2"/>
      <c r="N102" s="2"/>
      <c r="O102" s="2" t="s">
        <v>754</v>
      </c>
      <c r="P102" s="3" t="s">
        <v>27</v>
      </c>
      <c r="Q102" s="2" t="s">
        <v>755</v>
      </c>
    </row>
    <row r="103" spans="1:17" ht="32.1" customHeight="1">
      <c r="A103" s="3" t="s">
        <v>756</v>
      </c>
      <c r="B103" s="2" t="s">
        <v>757</v>
      </c>
      <c r="C103" s="2" t="s">
        <v>758</v>
      </c>
      <c r="D103" s="2" t="s">
        <v>110</v>
      </c>
      <c r="E103" s="2" t="s">
        <v>759</v>
      </c>
      <c r="F103" s="2" t="s">
        <v>760</v>
      </c>
      <c r="G103" s="3" t="s">
        <v>2</v>
      </c>
      <c r="H103" s="3" t="s">
        <v>392</v>
      </c>
      <c r="I103" s="2" t="s">
        <v>87</v>
      </c>
      <c r="J103" s="2" t="s">
        <v>761</v>
      </c>
      <c r="K103" s="2"/>
      <c r="L103" s="2"/>
      <c r="M103" s="2"/>
      <c r="N103" s="2"/>
      <c r="O103" s="2" t="s">
        <v>113</v>
      </c>
      <c r="P103" s="3" t="s">
        <v>27</v>
      </c>
      <c r="Q103" s="2" t="s">
        <v>762</v>
      </c>
    </row>
    <row r="104" spans="1:17" ht="32.1" customHeight="1">
      <c r="A104" s="3" t="s">
        <v>763</v>
      </c>
      <c r="B104" s="2" t="s">
        <v>764</v>
      </c>
      <c r="C104" s="2" t="s">
        <v>765</v>
      </c>
      <c r="D104" s="2" t="s">
        <v>766</v>
      </c>
      <c r="E104" s="2" t="s">
        <v>767</v>
      </c>
      <c r="F104" s="2" t="s">
        <v>768</v>
      </c>
      <c r="G104" s="3" t="s">
        <v>5</v>
      </c>
      <c r="H104" s="3" t="s">
        <v>392</v>
      </c>
      <c r="I104" s="2" t="s">
        <v>24</v>
      </c>
      <c r="J104" s="2" t="s">
        <v>769</v>
      </c>
      <c r="K104" s="2"/>
      <c r="L104" s="2"/>
      <c r="M104" s="2"/>
      <c r="N104" s="2"/>
      <c r="O104" s="2" t="s">
        <v>770</v>
      </c>
      <c r="P104" s="3" t="s">
        <v>27</v>
      </c>
      <c r="Q104" s="2" t="s">
        <v>771</v>
      </c>
    </row>
    <row r="105" spans="1:17" ht="32.1" customHeight="1">
      <c r="A105" s="3" t="s">
        <v>772</v>
      </c>
      <c r="B105" s="2" t="s">
        <v>773</v>
      </c>
      <c r="C105" s="2" t="s">
        <v>340</v>
      </c>
      <c r="D105" s="2" t="s">
        <v>177</v>
      </c>
      <c r="E105" s="2" t="s">
        <v>152</v>
      </c>
      <c r="F105" s="2" t="s">
        <v>135</v>
      </c>
      <c r="G105" s="3" t="s">
        <v>3</v>
      </c>
      <c r="H105" s="3" t="s">
        <v>392</v>
      </c>
      <c r="I105" s="2" t="s">
        <v>774</v>
      </c>
      <c r="J105" s="2" t="s">
        <v>775</v>
      </c>
      <c r="K105" s="2"/>
      <c r="L105" s="2"/>
      <c r="M105" s="2"/>
      <c r="N105" s="2"/>
      <c r="O105" s="2" t="s">
        <v>776</v>
      </c>
      <c r="P105" s="3" t="s">
        <v>27</v>
      </c>
      <c r="Q105" s="2" t="s">
        <v>777</v>
      </c>
    </row>
    <row r="106" spans="1:17" ht="32.1" customHeight="1">
      <c r="A106" s="3" t="s">
        <v>778</v>
      </c>
      <c r="B106" s="2" t="s">
        <v>779</v>
      </c>
      <c r="C106" s="2" t="s">
        <v>69</v>
      </c>
      <c r="D106" s="2" t="s">
        <v>100</v>
      </c>
      <c r="E106" s="2" t="s">
        <v>77</v>
      </c>
      <c r="F106" s="2" t="s">
        <v>76</v>
      </c>
      <c r="G106" s="3" t="s">
        <v>4</v>
      </c>
      <c r="H106" s="3" t="s">
        <v>392</v>
      </c>
      <c r="I106" s="2" t="s">
        <v>58</v>
      </c>
      <c r="J106" s="2" t="s">
        <v>780</v>
      </c>
      <c r="K106" s="2" t="s">
        <v>781</v>
      </c>
      <c r="L106" s="2" t="s">
        <v>782</v>
      </c>
      <c r="M106" s="2" t="s">
        <v>783</v>
      </c>
      <c r="N106" s="2" t="s">
        <v>63</v>
      </c>
      <c r="O106" s="2" t="s">
        <v>784</v>
      </c>
      <c r="P106" s="3" t="s">
        <v>27</v>
      </c>
      <c r="Q106" s="2" t="s">
        <v>65</v>
      </c>
    </row>
    <row r="107" spans="1:17" ht="32.1" customHeight="1">
      <c r="A107" s="3" t="s">
        <v>785</v>
      </c>
      <c r="B107" s="2" t="s">
        <v>786</v>
      </c>
      <c r="C107" s="2" t="s">
        <v>21</v>
      </c>
      <c r="D107" s="2" t="s">
        <v>220</v>
      </c>
      <c r="E107" s="2" t="s">
        <v>305</v>
      </c>
      <c r="F107" s="2" t="s">
        <v>22</v>
      </c>
      <c r="G107" s="3" t="s">
        <v>5</v>
      </c>
      <c r="H107" s="3" t="s">
        <v>787</v>
      </c>
      <c r="I107" s="2" t="s">
        <v>24</v>
      </c>
      <c r="J107" s="2" t="s">
        <v>788</v>
      </c>
      <c r="K107" s="2"/>
      <c r="L107" s="2"/>
      <c r="M107" s="2"/>
      <c r="N107" s="2"/>
      <c r="O107" s="2" t="s">
        <v>789</v>
      </c>
      <c r="P107" s="3" t="s">
        <v>27</v>
      </c>
      <c r="Q107" s="2" t="s">
        <v>790</v>
      </c>
    </row>
    <row r="108" spans="1:17" ht="32.1" customHeight="1">
      <c r="A108" s="3" t="s">
        <v>791</v>
      </c>
      <c r="B108" s="2" t="s">
        <v>792</v>
      </c>
      <c r="C108" s="2" t="s">
        <v>793</v>
      </c>
      <c r="D108" s="2" t="s">
        <v>20</v>
      </c>
      <c r="E108" s="2" t="s">
        <v>193</v>
      </c>
      <c r="F108" s="2" t="s">
        <v>32</v>
      </c>
      <c r="G108" s="3" t="s">
        <v>4</v>
      </c>
      <c r="H108" s="3" t="s">
        <v>787</v>
      </c>
      <c r="I108" s="2" t="s">
        <v>24</v>
      </c>
      <c r="J108" s="2" t="s">
        <v>794</v>
      </c>
      <c r="K108" s="2"/>
      <c r="L108" s="2"/>
      <c r="M108" s="2"/>
      <c r="N108" s="2"/>
      <c r="O108" s="2" t="s">
        <v>795</v>
      </c>
      <c r="P108" s="3" t="s">
        <v>27</v>
      </c>
      <c r="Q108" s="2" t="s">
        <v>796</v>
      </c>
    </row>
    <row r="109" spans="1:17" ht="32.1" customHeight="1">
      <c r="A109" s="3" t="s">
        <v>797</v>
      </c>
      <c r="B109" s="2" t="s">
        <v>798</v>
      </c>
      <c r="C109" s="2" t="s">
        <v>442</v>
      </c>
      <c r="D109" s="2" t="s">
        <v>193</v>
      </c>
      <c r="E109" s="2" t="s">
        <v>20</v>
      </c>
      <c r="F109" s="2" t="s">
        <v>799</v>
      </c>
      <c r="G109" s="3" t="s">
        <v>5</v>
      </c>
      <c r="H109" s="3" t="s">
        <v>787</v>
      </c>
      <c r="I109" s="2" t="s">
        <v>24</v>
      </c>
      <c r="J109" s="2" t="s">
        <v>800</v>
      </c>
      <c r="K109" s="2"/>
      <c r="L109" s="2"/>
      <c r="M109" s="2"/>
      <c r="N109" s="2"/>
      <c r="O109" s="2" t="s">
        <v>801</v>
      </c>
      <c r="P109" s="3" t="s">
        <v>27</v>
      </c>
      <c r="Q109" s="2" t="s">
        <v>802</v>
      </c>
    </row>
    <row r="110" spans="1:17" ht="32.1" customHeight="1">
      <c r="A110" s="3" t="s">
        <v>803</v>
      </c>
      <c r="B110" s="2" t="s">
        <v>804</v>
      </c>
      <c r="C110" s="2" t="s">
        <v>805</v>
      </c>
      <c r="D110" s="2" t="s">
        <v>806</v>
      </c>
      <c r="E110" s="2" t="s">
        <v>335</v>
      </c>
      <c r="F110" s="2" t="s">
        <v>725</v>
      </c>
      <c r="G110" s="3" t="s">
        <v>2</v>
      </c>
      <c r="H110" s="3" t="s">
        <v>787</v>
      </c>
      <c r="I110" s="2" t="s">
        <v>24</v>
      </c>
      <c r="J110" s="2" t="s">
        <v>807</v>
      </c>
      <c r="K110" s="2"/>
      <c r="L110" s="2"/>
      <c r="M110" s="2"/>
      <c r="N110" s="2"/>
      <c r="O110" s="2" t="s">
        <v>438</v>
      </c>
      <c r="P110" s="3" t="s">
        <v>27</v>
      </c>
      <c r="Q110" s="2" t="s">
        <v>808</v>
      </c>
    </row>
    <row r="111" spans="1:17" ht="32.1" customHeight="1">
      <c r="A111" s="3" t="s">
        <v>809</v>
      </c>
      <c r="B111" s="2" t="s">
        <v>810</v>
      </c>
      <c r="C111" s="2" t="s">
        <v>177</v>
      </c>
      <c r="D111" s="2" t="s">
        <v>39</v>
      </c>
      <c r="E111" s="2" t="s">
        <v>185</v>
      </c>
      <c r="F111" s="2" t="s">
        <v>99</v>
      </c>
      <c r="G111" s="3" t="s">
        <v>4</v>
      </c>
      <c r="H111" s="3" t="s">
        <v>787</v>
      </c>
      <c r="I111" s="2" t="s">
        <v>58</v>
      </c>
      <c r="J111" s="2" t="s">
        <v>811</v>
      </c>
      <c r="K111" s="2" t="s">
        <v>812</v>
      </c>
      <c r="L111" s="2" t="s">
        <v>813</v>
      </c>
      <c r="M111" s="2" t="s">
        <v>814</v>
      </c>
      <c r="N111" s="2" t="s">
        <v>63</v>
      </c>
      <c r="O111" s="2" t="s">
        <v>815</v>
      </c>
      <c r="P111" s="3" t="s">
        <v>27</v>
      </c>
      <c r="Q111" s="2" t="s">
        <v>65</v>
      </c>
    </row>
    <row r="112" spans="1:17" ht="32.1" customHeight="1">
      <c r="A112" s="3" t="s">
        <v>816</v>
      </c>
      <c r="B112" s="2" t="s">
        <v>817</v>
      </c>
      <c r="C112" s="2" t="s">
        <v>32</v>
      </c>
      <c r="D112" s="2" t="s">
        <v>20</v>
      </c>
      <c r="E112" s="2" t="s">
        <v>818</v>
      </c>
      <c r="F112" s="2" t="s">
        <v>19</v>
      </c>
      <c r="G112" s="3" t="s">
        <v>5</v>
      </c>
      <c r="H112" s="3" t="s">
        <v>787</v>
      </c>
      <c r="I112" s="2" t="s">
        <v>24</v>
      </c>
      <c r="J112" s="2" t="s">
        <v>819</v>
      </c>
      <c r="K112" s="2"/>
      <c r="L112" s="2"/>
      <c r="M112" s="2"/>
      <c r="N112" s="2"/>
      <c r="O112" s="2" t="s">
        <v>34</v>
      </c>
      <c r="P112" s="3" t="s">
        <v>27</v>
      </c>
      <c r="Q112" s="2" t="s">
        <v>820</v>
      </c>
    </row>
    <row r="113" spans="1:17" ht="32.1" customHeight="1">
      <c r="A113" s="3" t="s">
        <v>821</v>
      </c>
      <c r="B113" s="2" t="s">
        <v>822</v>
      </c>
      <c r="C113" s="2" t="s">
        <v>823</v>
      </c>
      <c r="D113" s="2" t="s">
        <v>824</v>
      </c>
      <c r="E113" s="2" t="s">
        <v>825</v>
      </c>
      <c r="F113" s="2" t="s">
        <v>826</v>
      </c>
      <c r="G113" s="3" t="s">
        <v>4</v>
      </c>
      <c r="H113" s="3" t="s">
        <v>787</v>
      </c>
      <c r="I113" s="2" t="s">
        <v>24</v>
      </c>
      <c r="J113" s="2" t="s">
        <v>827</v>
      </c>
      <c r="K113" s="2"/>
      <c r="L113" s="2"/>
      <c r="M113" s="2"/>
      <c r="N113" s="2"/>
      <c r="O113" s="2" t="s">
        <v>828</v>
      </c>
      <c r="P113" s="3" t="s">
        <v>27</v>
      </c>
      <c r="Q113" s="2" t="s">
        <v>829</v>
      </c>
    </row>
    <row r="114" spans="1:17" ht="32.1" customHeight="1">
      <c r="A114" s="3" t="s">
        <v>830</v>
      </c>
      <c r="B114" s="2" t="s">
        <v>831</v>
      </c>
      <c r="C114" s="2" t="s">
        <v>832</v>
      </c>
      <c r="D114" s="2" t="s">
        <v>833</v>
      </c>
      <c r="E114" s="2" t="s">
        <v>834</v>
      </c>
      <c r="F114" s="2" t="s">
        <v>835</v>
      </c>
      <c r="G114" s="3" t="s">
        <v>4</v>
      </c>
      <c r="H114" s="3" t="s">
        <v>787</v>
      </c>
      <c r="I114" s="2" t="s">
        <v>87</v>
      </c>
      <c r="J114" s="2" t="s">
        <v>836</v>
      </c>
      <c r="K114" s="2"/>
      <c r="L114" s="2"/>
      <c r="M114" s="2"/>
      <c r="N114" s="2"/>
      <c r="O114" s="2" t="s">
        <v>113</v>
      </c>
      <c r="P114" s="3" t="s">
        <v>27</v>
      </c>
      <c r="Q114" s="2" t="s">
        <v>837</v>
      </c>
    </row>
    <row r="115" spans="1:17" ht="32.1" customHeight="1">
      <c r="A115" s="3" t="s">
        <v>838</v>
      </c>
      <c r="B115" s="2" t="s">
        <v>839</v>
      </c>
      <c r="C115" s="2" t="s">
        <v>49</v>
      </c>
      <c r="D115" s="2" t="s">
        <v>51</v>
      </c>
      <c r="E115" s="2" t="s">
        <v>99</v>
      </c>
      <c r="F115" s="2" t="s">
        <v>50</v>
      </c>
      <c r="G115" s="3" t="s">
        <v>5</v>
      </c>
      <c r="H115" s="3" t="s">
        <v>787</v>
      </c>
      <c r="I115" s="2" t="s">
        <v>693</v>
      </c>
      <c r="J115" s="2" t="s">
        <v>840</v>
      </c>
      <c r="K115" s="2"/>
      <c r="L115" s="2"/>
      <c r="M115" s="2"/>
      <c r="N115" s="2"/>
      <c r="O115" s="2" t="s">
        <v>841</v>
      </c>
      <c r="P115" s="3" t="s">
        <v>27</v>
      </c>
      <c r="Q115" s="2" t="s">
        <v>842</v>
      </c>
    </row>
    <row r="116" spans="1:17" ht="32.1" customHeight="1">
      <c r="A116" s="3" t="s">
        <v>843</v>
      </c>
      <c r="B116" s="2" t="s">
        <v>844</v>
      </c>
      <c r="C116" s="2" t="s">
        <v>456</v>
      </c>
      <c r="D116" s="2" t="s">
        <v>573</v>
      </c>
      <c r="E116" s="2" t="s">
        <v>93</v>
      </c>
      <c r="F116" s="2" t="s">
        <v>503</v>
      </c>
      <c r="G116" s="3" t="s">
        <v>2</v>
      </c>
      <c r="H116" s="3" t="s">
        <v>787</v>
      </c>
      <c r="I116" s="2" t="s">
        <v>58</v>
      </c>
      <c r="J116" s="2" t="s">
        <v>845</v>
      </c>
      <c r="K116" s="2" t="s">
        <v>846</v>
      </c>
      <c r="L116" s="2" t="s">
        <v>847</v>
      </c>
      <c r="M116" s="2" t="s">
        <v>848</v>
      </c>
      <c r="N116" s="2" t="s">
        <v>63</v>
      </c>
      <c r="O116" s="2" t="s">
        <v>849</v>
      </c>
      <c r="P116" s="3" t="s">
        <v>27</v>
      </c>
      <c r="Q116" s="2" t="s">
        <v>65</v>
      </c>
    </row>
    <row r="117" spans="1:17" ht="32.1" customHeight="1">
      <c r="A117" s="3" t="s">
        <v>850</v>
      </c>
      <c r="B117" s="2" t="s">
        <v>851</v>
      </c>
      <c r="C117" s="2" t="s">
        <v>456</v>
      </c>
      <c r="D117" s="2" t="s">
        <v>185</v>
      </c>
      <c r="E117" s="2" t="s">
        <v>99</v>
      </c>
      <c r="F117" s="2" t="s">
        <v>39</v>
      </c>
      <c r="G117" s="3" t="s">
        <v>3</v>
      </c>
      <c r="H117" s="3" t="s">
        <v>787</v>
      </c>
      <c r="I117" s="2" t="s">
        <v>480</v>
      </c>
      <c r="J117" s="2" t="s">
        <v>852</v>
      </c>
      <c r="K117" s="2"/>
      <c r="L117" s="2"/>
      <c r="M117" s="2"/>
      <c r="N117" s="2"/>
      <c r="O117" s="2" t="s">
        <v>534</v>
      </c>
      <c r="P117" s="3" t="s">
        <v>27</v>
      </c>
      <c r="Q117" s="2" t="s">
        <v>853</v>
      </c>
    </row>
    <row r="118" spans="1:17" ht="32.1" customHeight="1">
      <c r="A118" s="3" t="s">
        <v>854</v>
      </c>
      <c r="B118" s="2" t="s">
        <v>855</v>
      </c>
      <c r="C118" s="2" t="s">
        <v>68</v>
      </c>
      <c r="D118" s="2" t="s">
        <v>39</v>
      </c>
      <c r="E118" s="2" t="s">
        <v>503</v>
      </c>
      <c r="F118" s="2" t="s">
        <v>93</v>
      </c>
      <c r="G118" s="3" t="s">
        <v>3</v>
      </c>
      <c r="H118" s="3" t="s">
        <v>787</v>
      </c>
      <c r="I118" s="2" t="s">
        <v>42</v>
      </c>
      <c r="J118" s="2" t="s">
        <v>856</v>
      </c>
      <c r="K118" s="2"/>
      <c r="L118" s="2"/>
      <c r="M118" s="2"/>
      <c r="N118" s="2"/>
      <c r="O118" s="2" t="s">
        <v>499</v>
      </c>
      <c r="P118" s="3" t="s">
        <v>27</v>
      </c>
      <c r="Q118" s="2" t="s">
        <v>857</v>
      </c>
    </row>
    <row r="119" spans="1:17" ht="32.1" customHeight="1">
      <c r="A119" s="3" t="s">
        <v>858</v>
      </c>
      <c r="B119" s="2" t="s">
        <v>859</v>
      </c>
      <c r="C119" s="2" t="s">
        <v>860</v>
      </c>
      <c r="D119" s="2" t="s">
        <v>861</v>
      </c>
      <c r="E119" s="2" t="s">
        <v>862</v>
      </c>
      <c r="F119" s="2" t="s">
        <v>863</v>
      </c>
      <c r="G119" s="3" t="s">
        <v>2</v>
      </c>
      <c r="H119" s="3" t="s">
        <v>787</v>
      </c>
      <c r="I119" s="2" t="s">
        <v>158</v>
      </c>
      <c r="J119" s="2" t="s">
        <v>864</v>
      </c>
      <c r="K119" s="2"/>
      <c r="L119" s="2"/>
      <c r="M119" s="2"/>
      <c r="N119" s="2"/>
      <c r="O119" s="2" t="s">
        <v>569</v>
      </c>
      <c r="P119" s="3" t="s">
        <v>27</v>
      </c>
      <c r="Q119" s="2" t="s">
        <v>865</v>
      </c>
    </row>
    <row r="120" spans="1:17" ht="32.1" customHeight="1">
      <c r="A120" s="3" t="s">
        <v>866</v>
      </c>
      <c r="B120" s="2" t="s">
        <v>867</v>
      </c>
      <c r="C120" s="2" t="s">
        <v>868</v>
      </c>
      <c r="D120" s="2" t="s">
        <v>869</v>
      </c>
      <c r="E120" s="2" t="s">
        <v>870</v>
      </c>
      <c r="F120" s="2" t="s">
        <v>871</v>
      </c>
      <c r="G120" s="3" t="s">
        <v>2</v>
      </c>
      <c r="H120" s="3" t="s">
        <v>787</v>
      </c>
      <c r="I120" s="2" t="s">
        <v>42</v>
      </c>
      <c r="J120" s="2" t="s">
        <v>872</v>
      </c>
      <c r="K120" s="2"/>
      <c r="L120" s="2"/>
      <c r="M120" s="2"/>
      <c r="N120" s="2"/>
      <c r="O120" s="2" t="s">
        <v>95</v>
      </c>
      <c r="P120" s="3" t="s">
        <v>27</v>
      </c>
      <c r="Q120" s="2" t="s">
        <v>873</v>
      </c>
    </row>
    <row r="121" spans="1:17" ht="32.1" customHeight="1">
      <c r="A121" s="3" t="s">
        <v>874</v>
      </c>
      <c r="B121" s="2" t="s">
        <v>875</v>
      </c>
      <c r="C121" s="2" t="s">
        <v>185</v>
      </c>
      <c r="D121" s="2" t="s">
        <v>177</v>
      </c>
      <c r="E121" s="2" t="s">
        <v>135</v>
      </c>
      <c r="F121" s="2" t="s">
        <v>40</v>
      </c>
      <c r="G121" s="3" t="s">
        <v>3</v>
      </c>
      <c r="H121" s="3" t="s">
        <v>787</v>
      </c>
      <c r="I121" s="2" t="s">
        <v>58</v>
      </c>
      <c r="J121" s="2" t="s">
        <v>876</v>
      </c>
      <c r="K121" s="2" t="s">
        <v>877</v>
      </c>
      <c r="L121" s="2" t="s">
        <v>878</v>
      </c>
      <c r="M121" s="2" t="s">
        <v>879</v>
      </c>
      <c r="N121" s="2" t="s">
        <v>63</v>
      </c>
      <c r="O121" s="2" t="s">
        <v>880</v>
      </c>
      <c r="P121" s="3" t="s">
        <v>27</v>
      </c>
      <c r="Q121" s="2" t="s">
        <v>65</v>
      </c>
    </row>
    <row r="122" spans="1:17" ht="32.1" customHeight="1">
      <c r="A122" s="3" t="s">
        <v>881</v>
      </c>
      <c r="B122" s="2" t="s">
        <v>882</v>
      </c>
      <c r="C122" s="2" t="s">
        <v>883</v>
      </c>
      <c r="D122" s="2" t="s">
        <v>629</v>
      </c>
      <c r="E122" s="2" t="s">
        <v>614</v>
      </c>
      <c r="F122" s="2" t="s">
        <v>628</v>
      </c>
      <c r="G122" s="3" t="s">
        <v>4</v>
      </c>
      <c r="H122" s="3" t="s">
        <v>787</v>
      </c>
      <c r="I122" s="2" t="s">
        <v>171</v>
      </c>
      <c r="J122" s="2" t="s">
        <v>884</v>
      </c>
      <c r="K122" s="2"/>
      <c r="L122" s="2"/>
      <c r="M122" s="2"/>
      <c r="N122" s="2"/>
      <c r="O122" s="2" t="s">
        <v>885</v>
      </c>
      <c r="P122" s="3" t="s">
        <v>27</v>
      </c>
      <c r="Q122" s="2" t="s">
        <v>886</v>
      </c>
    </row>
    <row r="123" spans="1:17" ht="32.1" customHeight="1">
      <c r="A123" s="3" t="s">
        <v>887</v>
      </c>
      <c r="B123" s="2" t="s">
        <v>888</v>
      </c>
      <c r="C123" s="2" t="s">
        <v>473</v>
      </c>
      <c r="D123" s="2" t="s">
        <v>889</v>
      </c>
      <c r="E123" s="2" t="s">
        <v>472</v>
      </c>
      <c r="F123" s="2" t="s">
        <v>474</v>
      </c>
      <c r="G123" s="3" t="s">
        <v>2</v>
      </c>
      <c r="H123" s="3" t="s">
        <v>787</v>
      </c>
      <c r="I123" s="2" t="s">
        <v>171</v>
      </c>
      <c r="J123" s="2" t="s">
        <v>890</v>
      </c>
      <c r="K123" s="2"/>
      <c r="L123" s="2"/>
      <c r="M123" s="2"/>
      <c r="N123" s="2"/>
      <c r="O123" s="2" t="s">
        <v>891</v>
      </c>
      <c r="P123" s="3" t="s">
        <v>27</v>
      </c>
      <c r="Q123" s="2" t="s">
        <v>892</v>
      </c>
    </row>
    <row r="124" spans="1:17" ht="32.1" customHeight="1">
      <c r="A124" s="3" t="s">
        <v>893</v>
      </c>
      <c r="B124" s="2" t="s">
        <v>894</v>
      </c>
      <c r="C124" s="2" t="s">
        <v>68</v>
      </c>
      <c r="D124" s="2" t="s">
        <v>93</v>
      </c>
      <c r="E124" s="2" t="s">
        <v>38</v>
      </c>
      <c r="F124" s="2" t="s">
        <v>39</v>
      </c>
      <c r="G124" s="3" t="s">
        <v>3</v>
      </c>
      <c r="H124" s="3" t="s">
        <v>787</v>
      </c>
      <c r="I124" s="2" t="s">
        <v>42</v>
      </c>
      <c r="J124" s="2" t="s">
        <v>895</v>
      </c>
      <c r="K124" s="2"/>
      <c r="L124" s="2"/>
      <c r="M124" s="2"/>
      <c r="N124" s="2"/>
      <c r="O124" s="2" t="s">
        <v>505</v>
      </c>
      <c r="P124" s="3" t="s">
        <v>27</v>
      </c>
      <c r="Q124" s="2" t="s">
        <v>896</v>
      </c>
    </row>
    <row r="125" spans="1:17" ht="32.1" customHeight="1">
      <c r="A125" s="3" t="s">
        <v>897</v>
      </c>
      <c r="B125" s="2" t="s">
        <v>898</v>
      </c>
      <c r="C125" s="2" t="s">
        <v>77</v>
      </c>
      <c r="D125" s="2" t="s">
        <v>69</v>
      </c>
      <c r="E125" s="2" t="s">
        <v>143</v>
      </c>
      <c r="F125" s="2" t="s">
        <v>76</v>
      </c>
      <c r="G125" s="3" t="s">
        <v>3</v>
      </c>
      <c r="H125" s="3" t="s">
        <v>787</v>
      </c>
      <c r="I125" s="2" t="s">
        <v>158</v>
      </c>
      <c r="J125" s="2" t="s">
        <v>899</v>
      </c>
      <c r="K125" s="2"/>
      <c r="L125" s="2"/>
      <c r="M125" s="2"/>
      <c r="N125" s="2"/>
      <c r="O125" s="2" t="s">
        <v>79</v>
      </c>
      <c r="P125" s="3" t="s">
        <v>27</v>
      </c>
      <c r="Q125" s="2" t="s">
        <v>900</v>
      </c>
    </row>
    <row r="126" spans="1:17" ht="32.1" customHeight="1">
      <c r="A126" s="3" t="s">
        <v>901</v>
      </c>
      <c r="B126" s="2" t="s">
        <v>902</v>
      </c>
      <c r="C126" s="2" t="s">
        <v>903</v>
      </c>
      <c r="D126" s="2" t="s">
        <v>904</v>
      </c>
      <c r="E126" s="2" t="s">
        <v>905</v>
      </c>
      <c r="F126" s="2" t="s">
        <v>906</v>
      </c>
      <c r="G126" s="3" t="s">
        <v>4</v>
      </c>
      <c r="H126" s="3" t="s">
        <v>787</v>
      </c>
      <c r="I126" s="2" t="s">
        <v>58</v>
      </c>
      <c r="J126" s="2" t="s">
        <v>907</v>
      </c>
      <c r="K126" s="2" t="s">
        <v>908</v>
      </c>
      <c r="L126" s="2" t="s">
        <v>909</v>
      </c>
      <c r="M126" s="2" t="s">
        <v>910</v>
      </c>
      <c r="N126" s="2" t="s">
        <v>63</v>
      </c>
      <c r="O126" s="2" t="s">
        <v>911</v>
      </c>
      <c r="P126" s="3" t="s">
        <v>27</v>
      </c>
      <c r="Q126" s="2" t="s">
        <v>912</v>
      </c>
    </row>
    <row r="127" spans="1:17" ht="32.1" customHeight="1">
      <c r="A127" s="3" t="s">
        <v>913</v>
      </c>
      <c r="B127" s="2" t="s">
        <v>914</v>
      </c>
      <c r="C127" s="2" t="s">
        <v>542</v>
      </c>
      <c r="D127" s="2" t="s">
        <v>70</v>
      </c>
      <c r="E127" s="2" t="s">
        <v>543</v>
      </c>
      <c r="F127" s="2" t="s">
        <v>656</v>
      </c>
      <c r="G127" s="3" t="s">
        <v>4</v>
      </c>
      <c r="H127" s="3" t="s">
        <v>787</v>
      </c>
      <c r="I127" s="2" t="s">
        <v>480</v>
      </c>
      <c r="J127" s="2" t="s">
        <v>915</v>
      </c>
      <c r="K127" s="2"/>
      <c r="L127" s="2"/>
      <c r="M127" s="2"/>
      <c r="N127" s="2"/>
      <c r="O127" s="2" t="s">
        <v>916</v>
      </c>
      <c r="P127" s="3" t="s">
        <v>27</v>
      </c>
      <c r="Q127" s="2" t="s">
        <v>917</v>
      </c>
    </row>
    <row r="128" spans="1:17" ht="32.1" customHeight="1">
      <c r="A128" s="3" t="s">
        <v>918</v>
      </c>
      <c r="B128" s="2" t="s">
        <v>919</v>
      </c>
      <c r="C128" s="2" t="s">
        <v>656</v>
      </c>
      <c r="D128" s="2" t="s">
        <v>543</v>
      </c>
      <c r="E128" s="2" t="s">
        <v>920</v>
      </c>
      <c r="F128" s="2" t="s">
        <v>542</v>
      </c>
      <c r="G128" s="3" t="s">
        <v>5</v>
      </c>
      <c r="H128" s="3" t="s">
        <v>787</v>
      </c>
      <c r="I128" s="2" t="s">
        <v>480</v>
      </c>
      <c r="J128" s="2" t="s">
        <v>921</v>
      </c>
      <c r="K128" s="2"/>
      <c r="L128" s="2"/>
      <c r="M128" s="2"/>
      <c r="N128" s="2"/>
      <c r="O128" s="2" t="s">
        <v>601</v>
      </c>
      <c r="P128" s="3" t="s">
        <v>27</v>
      </c>
      <c r="Q128" s="2" t="s">
        <v>922</v>
      </c>
    </row>
    <row r="129" spans="1:17" ht="32.1" customHeight="1">
      <c r="A129" s="3" t="s">
        <v>923</v>
      </c>
      <c r="B129" s="2" t="s">
        <v>924</v>
      </c>
      <c r="C129" s="2" t="s">
        <v>656</v>
      </c>
      <c r="D129" s="2" t="s">
        <v>599</v>
      </c>
      <c r="E129" s="2" t="s">
        <v>920</v>
      </c>
      <c r="F129" s="2" t="s">
        <v>70</v>
      </c>
      <c r="G129" s="3" t="s">
        <v>2</v>
      </c>
      <c r="H129" s="3" t="s">
        <v>787</v>
      </c>
      <c r="I129" s="2" t="s">
        <v>480</v>
      </c>
      <c r="J129" s="2" t="s">
        <v>925</v>
      </c>
      <c r="K129" s="2"/>
      <c r="L129" s="2"/>
      <c r="M129" s="2"/>
      <c r="N129" s="2"/>
      <c r="O129" s="2" t="s">
        <v>926</v>
      </c>
      <c r="P129" s="3" t="s">
        <v>27</v>
      </c>
      <c r="Q129" s="2" t="s">
        <v>927</v>
      </c>
    </row>
    <row r="130" spans="1:17" ht="32.1" customHeight="1">
      <c r="A130" s="3" t="s">
        <v>928</v>
      </c>
      <c r="B130" s="2" t="s">
        <v>929</v>
      </c>
      <c r="C130" s="2" t="s">
        <v>39</v>
      </c>
      <c r="D130" s="2" t="s">
        <v>38</v>
      </c>
      <c r="E130" s="2" t="s">
        <v>68</v>
      </c>
      <c r="F130" s="2" t="s">
        <v>69</v>
      </c>
      <c r="G130" s="3" t="s">
        <v>4</v>
      </c>
      <c r="H130" s="3" t="s">
        <v>787</v>
      </c>
      <c r="I130" s="2" t="s">
        <v>42</v>
      </c>
      <c r="J130" s="2" t="s">
        <v>930</v>
      </c>
      <c r="K130" s="2"/>
      <c r="L130" s="2"/>
      <c r="M130" s="2"/>
      <c r="N130" s="2"/>
      <c r="O130" s="2" t="s">
        <v>95</v>
      </c>
      <c r="P130" s="3" t="s">
        <v>27</v>
      </c>
      <c r="Q130" s="2" t="s">
        <v>931</v>
      </c>
    </row>
    <row r="131" spans="1:17" ht="32.1" customHeight="1">
      <c r="A131" s="3" t="s">
        <v>932</v>
      </c>
      <c r="B131" s="2" t="s">
        <v>933</v>
      </c>
      <c r="C131" s="2" t="s">
        <v>177</v>
      </c>
      <c r="D131" s="2" t="s">
        <v>934</v>
      </c>
      <c r="E131" s="2" t="s">
        <v>573</v>
      </c>
      <c r="F131" s="2" t="s">
        <v>152</v>
      </c>
      <c r="G131" s="3" t="s">
        <v>5</v>
      </c>
      <c r="H131" s="3" t="s">
        <v>787</v>
      </c>
      <c r="I131" s="2" t="s">
        <v>58</v>
      </c>
      <c r="J131" s="2" t="s">
        <v>935</v>
      </c>
      <c r="K131" s="2" t="s">
        <v>936</v>
      </c>
      <c r="L131" s="2" t="s">
        <v>937</v>
      </c>
      <c r="M131" s="2" t="s">
        <v>938</v>
      </c>
      <c r="N131" s="2" t="s">
        <v>63</v>
      </c>
      <c r="O131" s="2" t="s">
        <v>939</v>
      </c>
      <c r="P131" s="3" t="s">
        <v>27</v>
      </c>
      <c r="Q131" s="2" t="s">
        <v>65</v>
      </c>
    </row>
    <row r="132" spans="1:17" ht="32.1" customHeight="1">
      <c r="A132" s="3" t="s">
        <v>940</v>
      </c>
      <c r="B132" s="2" t="s">
        <v>941</v>
      </c>
      <c r="C132" s="2" t="s">
        <v>621</v>
      </c>
      <c r="D132" s="2" t="s">
        <v>613</v>
      </c>
      <c r="E132" s="2" t="s">
        <v>599</v>
      </c>
      <c r="F132" s="2" t="s">
        <v>614</v>
      </c>
      <c r="G132" s="3" t="s">
        <v>4</v>
      </c>
      <c r="H132" s="3" t="s">
        <v>787</v>
      </c>
      <c r="I132" s="2" t="s">
        <v>42</v>
      </c>
      <c r="J132" s="2" t="s">
        <v>942</v>
      </c>
      <c r="K132" s="2"/>
      <c r="L132" s="2"/>
      <c r="M132" s="2"/>
      <c r="N132" s="2"/>
      <c r="O132" s="2" t="s">
        <v>616</v>
      </c>
      <c r="P132" s="3" t="s">
        <v>27</v>
      </c>
      <c r="Q132" s="2" t="s">
        <v>943</v>
      </c>
    </row>
    <row r="133" spans="1:17" ht="32.1" customHeight="1">
      <c r="A133" s="3" t="s">
        <v>944</v>
      </c>
      <c r="B133" s="2" t="s">
        <v>945</v>
      </c>
      <c r="C133" s="2" t="s">
        <v>76</v>
      </c>
      <c r="D133" s="2" t="s">
        <v>621</v>
      </c>
      <c r="E133" s="2" t="s">
        <v>946</v>
      </c>
      <c r="F133" s="2" t="s">
        <v>613</v>
      </c>
      <c r="G133" s="3" t="s">
        <v>5</v>
      </c>
      <c r="H133" s="3" t="s">
        <v>787</v>
      </c>
      <c r="I133" s="2" t="s">
        <v>158</v>
      </c>
      <c r="J133" s="2" t="s">
        <v>947</v>
      </c>
      <c r="K133" s="2"/>
      <c r="L133" s="2"/>
      <c r="M133" s="2"/>
      <c r="N133" s="2"/>
      <c r="O133" s="2" t="s">
        <v>623</v>
      </c>
      <c r="P133" s="3" t="s">
        <v>27</v>
      </c>
      <c r="Q133" s="2" t="s">
        <v>948</v>
      </c>
    </row>
    <row r="134" spans="1:17" ht="32.1" customHeight="1">
      <c r="A134" s="3" t="s">
        <v>949</v>
      </c>
      <c r="B134" s="2" t="s">
        <v>950</v>
      </c>
      <c r="C134" s="2" t="s">
        <v>50</v>
      </c>
      <c r="D134" s="2" t="s">
        <v>51</v>
      </c>
      <c r="E134" s="2" t="s">
        <v>49</v>
      </c>
      <c r="F134" s="2" t="s">
        <v>100</v>
      </c>
      <c r="G134" s="3" t="s">
        <v>4</v>
      </c>
      <c r="H134" s="3" t="s">
        <v>787</v>
      </c>
      <c r="I134" s="2" t="s">
        <v>693</v>
      </c>
      <c r="J134" s="2" t="s">
        <v>951</v>
      </c>
      <c r="K134" s="2"/>
      <c r="L134" s="2"/>
      <c r="M134" s="2"/>
      <c r="N134" s="2"/>
      <c r="O134" s="2" t="s">
        <v>952</v>
      </c>
      <c r="P134" s="3" t="s">
        <v>27</v>
      </c>
      <c r="Q134" s="2" t="s">
        <v>953</v>
      </c>
    </row>
    <row r="135" spans="1:17" ht="32.1" customHeight="1">
      <c r="A135" s="3" t="s">
        <v>954</v>
      </c>
      <c r="B135" s="2" t="s">
        <v>955</v>
      </c>
      <c r="C135" s="2" t="s">
        <v>48</v>
      </c>
      <c r="D135" s="2" t="s">
        <v>341</v>
      </c>
      <c r="E135" s="2" t="s">
        <v>956</v>
      </c>
      <c r="F135" s="2" t="s">
        <v>466</v>
      </c>
      <c r="G135" s="3" t="s">
        <v>2</v>
      </c>
      <c r="H135" s="3" t="s">
        <v>787</v>
      </c>
      <c r="I135" s="2" t="s">
        <v>52</v>
      </c>
      <c r="J135" s="2" t="s">
        <v>957</v>
      </c>
      <c r="K135" s="2"/>
      <c r="L135" s="2"/>
      <c r="M135" s="2"/>
      <c r="N135" s="2"/>
      <c r="O135" s="2" t="s">
        <v>54</v>
      </c>
      <c r="P135" s="3" t="s">
        <v>27</v>
      </c>
      <c r="Q135" s="2" t="s">
        <v>958</v>
      </c>
    </row>
    <row r="136" spans="1:17" ht="32.1" customHeight="1">
      <c r="A136" s="3" t="s">
        <v>959</v>
      </c>
      <c r="B136" s="2" t="s">
        <v>960</v>
      </c>
      <c r="C136" s="2" t="s">
        <v>40</v>
      </c>
      <c r="D136" s="2" t="s">
        <v>39</v>
      </c>
      <c r="E136" s="2" t="s">
        <v>961</v>
      </c>
      <c r="F136" s="2" t="s">
        <v>573</v>
      </c>
      <c r="G136" s="3" t="s">
        <v>4</v>
      </c>
      <c r="H136" s="3" t="s">
        <v>787</v>
      </c>
      <c r="I136" s="2" t="s">
        <v>58</v>
      </c>
      <c r="J136" s="2" t="s">
        <v>962</v>
      </c>
      <c r="K136" s="2" t="s">
        <v>963</v>
      </c>
      <c r="L136" s="2" t="s">
        <v>964</v>
      </c>
      <c r="M136" s="2" t="s">
        <v>965</v>
      </c>
      <c r="N136" s="2" t="s">
        <v>63</v>
      </c>
      <c r="O136" s="2" t="s">
        <v>966</v>
      </c>
      <c r="P136" s="3" t="s">
        <v>27</v>
      </c>
      <c r="Q136" s="2" t="s">
        <v>65</v>
      </c>
    </row>
    <row r="137" spans="1:17" ht="32.1" customHeight="1">
      <c r="A137" s="3" t="s">
        <v>967</v>
      </c>
      <c r="B137" s="2" t="s">
        <v>968</v>
      </c>
      <c r="C137" s="2" t="s">
        <v>185</v>
      </c>
      <c r="D137" s="2" t="s">
        <v>93</v>
      </c>
      <c r="E137" s="2" t="s">
        <v>456</v>
      </c>
      <c r="F137" s="2" t="s">
        <v>503</v>
      </c>
      <c r="G137" s="3" t="s">
        <v>4</v>
      </c>
      <c r="H137" s="3" t="s">
        <v>787</v>
      </c>
      <c r="I137" s="2" t="s">
        <v>480</v>
      </c>
      <c r="J137" s="2" t="s">
        <v>969</v>
      </c>
      <c r="K137" s="2"/>
      <c r="L137" s="2"/>
      <c r="M137" s="2"/>
      <c r="N137" s="2"/>
      <c r="O137" s="2" t="s">
        <v>970</v>
      </c>
      <c r="P137" s="3" t="s">
        <v>27</v>
      </c>
      <c r="Q137" s="2" t="s">
        <v>971</v>
      </c>
    </row>
    <row r="138" spans="1:17" ht="32.1" customHeight="1">
      <c r="A138" s="3" t="s">
        <v>972</v>
      </c>
      <c r="B138" s="2" t="s">
        <v>973</v>
      </c>
      <c r="C138" s="2" t="s">
        <v>542</v>
      </c>
      <c r="D138" s="2" t="s">
        <v>503</v>
      </c>
      <c r="E138" s="2" t="s">
        <v>974</v>
      </c>
      <c r="F138" s="2" t="s">
        <v>456</v>
      </c>
      <c r="G138" s="3" t="s">
        <v>3</v>
      </c>
      <c r="H138" s="3" t="s">
        <v>787</v>
      </c>
      <c r="I138" s="2" t="s">
        <v>480</v>
      </c>
      <c r="J138" s="2" t="s">
        <v>975</v>
      </c>
      <c r="K138" s="2"/>
      <c r="L138" s="2"/>
      <c r="M138" s="2"/>
      <c r="N138" s="2"/>
      <c r="O138" s="2" t="s">
        <v>587</v>
      </c>
      <c r="P138" s="3" t="s">
        <v>27</v>
      </c>
      <c r="Q138" s="2" t="s">
        <v>976</v>
      </c>
    </row>
    <row r="139" spans="1:17" ht="32.1" customHeight="1">
      <c r="A139" s="3" t="s">
        <v>977</v>
      </c>
      <c r="B139" s="2" t="s">
        <v>978</v>
      </c>
      <c r="C139" s="2" t="s">
        <v>69</v>
      </c>
      <c r="D139" s="2" t="s">
        <v>143</v>
      </c>
      <c r="E139" s="2" t="s">
        <v>591</v>
      </c>
      <c r="F139" s="2" t="s">
        <v>593</v>
      </c>
      <c r="G139" s="3" t="s">
        <v>3</v>
      </c>
      <c r="H139" s="3" t="s">
        <v>787</v>
      </c>
      <c r="I139" s="2" t="s">
        <v>158</v>
      </c>
      <c r="J139" s="2" t="s">
        <v>979</v>
      </c>
      <c r="K139" s="2"/>
      <c r="L139" s="2"/>
      <c r="M139" s="2"/>
      <c r="N139" s="2"/>
      <c r="O139" s="2" t="s">
        <v>980</v>
      </c>
      <c r="P139" s="3" t="s">
        <v>27</v>
      </c>
      <c r="Q139" s="2" t="s">
        <v>981</v>
      </c>
    </row>
    <row r="140" spans="1:17" ht="32.1" customHeight="1">
      <c r="A140" s="3" t="s">
        <v>982</v>
      </c>
      <c r="B140" s="2" t="s">
        <v>983</v>
      </c>
      <c r="C140" s="2" t="s">
        <v>76</v>
      </c>
      <c r="D140" s="2" t="s">
        <v>621</v>
      </c>
      <c r="E140" s="2" t="s">
        <v>984</v>
      </c>
      <c r="F140" s="2" t="s">
        <v>613</v>
      </c>
      <c r="G140" s="3" t="s">
        <v>2</v>
      </c>
      <c r="H140" s="3" t="s">
        <v>787</v>
      </c>
      <c r="I140" s="2" t="s">
        <v>158</v>
      </c>
      <c r="J140" s="2" t="s">
        <v>985</v>
      </c>
      <c r="K140" s="2"/>
      <c r="L140" s="2"/>
      <c r="M140" s="2"/>
      <c r="N140" s="2"/>
      <c r="O140" s="2" t="s">
        <v>986</v>
      </c>
      <c r="P140" s="3" t="s">
        <v>27</v>
      </c>
      <c r="Q140" s="2" t="s">
        <v>987</v>
      </c>
    </row>
    <row r="141" spans="1:17" ht="32.1" customHeight="1">
      <c r="A141" s="3" t="s">
        <v>988</v>
      </c>
      <c r="B141" s="2" t="s">
        <v>989</v>
      </c>
      <c r="C141" s="2" t="s">
        <v>956</v>
      </c>
      <c r="D141" s="2" t="s">
        <v>341</v>
      </c>
      <c r="E141" s="2" t="s">
        <v>466</v>
      </c>
      <c r="F141" s="2" t="s">
        <v>48</v>
      </c>
      <c r="G141" s="3" t="s">
        <v>2</v>
      </c>
      <c r="H141" s="3" t="s">
        <v>787</v>
      </c>
      <c r="I141" s="2" t="s">
        <v>58</v>
      </c>
      <c r="J141" s="2" t="s">
        <v>990</v>
      </c>
      <c r="K141" s="2" t="s">
        <v>991</v>
      </c>
      <c r="L141" s="2" t="s">
        <v>992</v>
      </c>
      <c r="M141" s="2" t="s">
        <v>993</v>
      </c>
      <c r="N141" s="2" t="s">
        <v>63</v>
      </c>
      <c r="O141" s="2" t="s">
        <v>994</v>
      </c>
      <c r="P141" s="3" t="s">
        <v>27</v>
      </c>
      <c r="Q141" s="2" t="s">
        <v>65</v>
      </c>
    </row>
    <row r="142" spans="1:17" ht="32.1" customHeight="1">
      <c r="A142" s="3" t="s">
        <v>995</v>
      </c>
      <c r="B142" s="2" t="s">
        <v>996</v>
      </c>
      <c r="C142" s="2" t="s">
        <v>135</v>
      </c>
      <c r="D142" s="2" t="s">
        <v>152</v>
      </c>
      <c r="E142" s="2" t="s">
        <v>573</v>
      </c>
      <c r="F142" s="2" t="s">
        <v>49</v>
      </c>
      <c r="G142" s="3" t="s">
        <v>3</v>
      </c>
      <c r="H142" s="3" t="s">
        <v>787</v>
      </c>
      <c r="I142" s="2" t="s">
        <v>137</v>
      </c>
      <c r="J142" s="2" t="s">
        <v>997</v>
      </c>
      <c r="K142" s="2"/>
      <c r="L142" s="2"/>
      <c r="M142" s="2"/>
      <c r="N142" s="2"/>
      <c r="O142" s="2" t="s">
        <v>998</v>
      </c>
      <c r="P142" s="3" t="s">
        <v>27</v>
      </c>
      <c r="Q142" s="2" t="s">
        <v>999</v>
      </c>
    </row>
    <row r="143" spans="1:17" ht="32.1" customHeight="1">
      <c r="A143" s="3" t="s">
        <v>1000</v>
      </c>
      <c r="B143" s="2" t="s">
        <v>1001</v>
      </c>
      <c r="C143" s="2" t="s">
        <v>1002</v>
      </c>
      <c r="D143" s="2" t="s">
        <v>449</v>
      </c>
      <c r="E143" s="2" t="s">
        <v>1003</v>
      </c>
      <c r="F143" s="2" t="s">
        <v>450</v>
      </c>
      <c r="G143" s="3" t="s">
        <v>4</v>
      </c>
      <c r="H143" s="3" t="s">
        <v>787</v>
      </c>
      <c r="I143" s="2" t="s">
        <v>24</v>
      </c>
      <c r="J143" s="2" t="s">
        <v>1004</v>
      </c>
      <c r="K143" s="2"/>
      <c r="L143" s="2"/>
      <c r="M143" s="2"/>
      <c r="N143" s="2"/>
      <c r="O143" s="2" t="s">
        <v>452</v>
      </c>
      <c r="P143" s="3" t="s">
        <v>27</v>
      </c>
      <c r="Q143" s="2" t="s">
        <v>1005</v>
      </c>
    </row>
    <row r="144" spans="1:17" ht="32.1" customHeight="1">
      <c r="A144" s="3" t="s">
        <v>1006</v>
      </c>
      <c r="B144" s="2" t="s">
        <v>1007</v>
      </c>
      <c r="C144" s="2" t="s">
        <v>1008</v>
      </c>
      <c r="D144" s="2" t="s">
        <v>1009</v>
      </c>
      <c r="E144" s="2" t="s">
        <v>1010</v>
      </c>
      <c r="F144" s="2" t="s">
        <v>1011</v>
      </c>
      <c r="G144" s="3" t="s">
        <v>5</v>
      </c>
      <c r="H144" s="3" t="s">
        <v>787</v>
      </c>
      <c r="I144" s="2" t="s">
        <v>24</v>
      </c>
      <c r="J144" s="2" t="s">
        <v>1012</v>
      </c>
      <c r="K144" s="2"/>
      <c r="L144" s="2"/>
      <c r="M144" s="2"/>
      <c r="N144" s="2"/>
      <c r="O144" s="2" t="s">
        <v>402</v>
      </c>
      <c r="P144" s="3" t="s">
        <v>27</v>
      </c>
      <c r="Q144" s="2" t="s">
        <v>1013</v>
      </c>
    </row>
    <row r="145" spans="1:17" ht="32.1" customHeight="1">
      <c r="A145" s="3" t="s">
        <v>1014</v>
      </c>
      <c r="B145" s="2" t="s">
        <v>1015</v>
      </c>
      <c r="C145" s="2" t="s">
        <v>1016</v>
      </c>
      <c r="D145" s="2" t="s">
        <v>1017</v>
      </c>
      <c r="E145" s="2" t="s">
        <v>1018</v>
      </c>
      <c r="F145" s="2" t="s">
        <v>1019</v>
      </c>
      <c r="G145" s="3" t="s">
        <v>5</v>
      </c>
      <c r="H145" s="3" t="s">
        <v>787</v>
      </c>
      <c r="I145" s="2" t="s">
        <v>24</v>
      </c>
      <c r="J145" s="2" t="s">
        <v>1020</v>
      </c>
      <c r="K145" s="2"/>
      <c r="L145" s="2"/>
      <c r="M145" s="2"/>
      <c r="N145" s="2"/>
      <c r="O145" s="2" t="s">
        <v>438</v>
      </c>
      <c r="P145" s="3" t="s">
        <v>27</v>
      </c>
      <c r="Q145" s="2" t="s">
        <v>1021</v>
      </c>
    </row>
    <row r="146" spans="1:17" ht="32.1" customHeight="1">
      <c r="A146" s="3" t="s">
        <v>1022</v>
      </c>
      <c r="B146" s="2" t="s">
        <v>1023</v>
      </c>
      <c r="C146" s="2" t="s">
        <v>40</v>
      </c>
      <c r="D146" s="2" t="s">
        <v>151</v>
      </c>
      <c r="E146" s="2" t="s">
        <v>135</v>
      </c>
      <c r="F146" s="2" t="s">
        <v>48</v>
      </c>
      <c r="G146" s="3" t="s">
        <v>4</v>
      </c>
      <c r="H146" s="3" t="s">
        <v>787</v>
      </c>
      <c r="I146" s="2" t="s">
        <v>58</v>
      </c>
      <c r="J146" s="2" t="s">
        <v>1024</v>
      </c>
      <c r="K146" s="2" t="s">
        <v>1025</v>
      </c>
      <c r="L146" s="2" t="s">
        <v>1026</v>
      </c>
      <c r="M146" s="2" t="s">
        <v>1027</v>
      </c>
      <c r="N146" s="2" t="s">
        <v>63</v>
      </c>
      <c r="O146" s="2" t="s">
        <v>1028</v>
      </c>
      <c r="P146" s="3" t="s">
        <v>27</v>
      </c>
      <c r="Q146" s="2" t="s">
        <v>65</v>
      </c>
    </row>
    <row r="147" spans="1:17" ht="32.1" customHeight="1">
      <c r="A147" s="3" t="s">
        <v>1029</v>
      </c>
      <c r="B147" s="2" t="s">
        <v>1030</v>
      </c>
      <c r="C147" s="2" t="s">
        <v>151</v>
      </c>
      <c r="D147" s="2" t="s">
        <v>135</v>
      </c>
      <c r="E147" s="2" t="s">
        <v>340</v>
      </c>
      <c r="F147" s="2" t="s">
        <v>1031</v>
      </c>
      <c r="G147" s="3" t="s">
        <v>2</v>
      </c>
      <c r="H147" s="3" t="s">
        <v>787</v>
      </c>
      <c r="I147" s="2" t="s">
        <v>693</v>
      </c>
      <c r="J147" s="2" t="s">
        <v>1032</v>
      </c>
      <c r="K147" s="2"/>
      <c r="L147" s="2"/>
      <c r="M147" s="2"/>
      <c r="N147" s="2"/>
      <c r="O147" s="2" t="s">
        <v>482</v>
      </c>
      <c r="P147" s="3" t="s">
        <v>27</v>
      </c>
      <c r="Q147" s="2" t="s">
        <v>1033</v>
      </c>
    </row>
    <row r="148" spans="1:17" ht="32.1" customHeight="1">
      <c r="A148" s="3" t="s">
        <v>1034</v>
      </c>
      <c r="B148" s="2" t="s">
        <v>1035</v>
      </c>
      <c r="C148" s="2" t="s">
        <v>68</v>
      </c>
      <c r="D148" s="2" t="s">
        <v>38</v>
      </c>
      <c r="E148" s="2" t="s">
        <v>41</v>
      </c>
      <c r="F148" s="2" t="s">
        <v>39</v>
      </c>
      <c r="G148" s="3" t="s">
        <v>4</v>
      </c>
      <c r="H148" s="3" t="s">
        <v>787</v>
      </c>
      <c r="I148" s="2" t="s">
        <v>42</v>
      </c>
      <c r="J148" s="2" t="s">
        <v>1036</v>
      </c>
      <c r="K148" s="2"/>
      <c r="L148" s="2"/>
      <c r="M148" s="2"/>
      <c r="N148" s="2"/>
      <c r="O148" s="2" t="s">
        <v>44</v>
      </c>
      <c r="P148" s="3" t="s">
        <v>27</v>
      </c>
      <c r="Q148" s="2" t="s">
        <v>1037</v>
      </c>
    </row>
    <row r="149" spans="1:17" ht="32.1" customHeight="1">
      <c r="A149" s="3" t="s">
        <v>1038</v>
      </c>
      <c r="B149" s="2" t="s">
        <v>1039</v>
      </c>
      <c r="C149" s="2" t="s">
        <v>39</v>
      </c>
      <c r="D149" s="2" t="s">
        <v>68</v>
      </c>
      <c r="E149" s="2" t="s">
        <v>38</v>
      </c>
      <c r="F149" s="2" t="s">
        <v>99</v>
      </c>
      <c r="G149" s="3" t="s">
        <v>4</v>
      </c>
      <c r="H149" s="3" t="s">
        <v>787</v>
      </c>
      <c r="I149" s="2" t="s">
        <v>42</v>
      </c>
      <c r="J149" s="2" t="s">
        <v>1040</v>
      </c>
      <c r="K149" s="2"/>
      <c r="L149" s="2"/>
      <c r="M149" s="2"/>
      <c r="N149" s="2"/>
      <c r="O149" s="2" t="s">
        <v>72</v>
      </c>
      <c r="P149" s="3" t="s">
        <v>27</v>
      </c>
      <c r="Q149" s="2" t="s">
        <v>1041</v>
      </c>
    </row>
    <row r="150" spans="1:17" ht="32.1" customHeight="1">
      <c r="A150" s="3" t="s">
        <v>1042</v>
      </c>
      <c r="B150" s="2" t="s">
        <v>1043</v>
      </c>
      <c r="C150" s="2" t="s">
        <v>151</v>
      </c>
      <c r="D150" s="2" t="s">
        <v>1044</v>
      </c>
      <c r="E150" s="2" t="s">
        <v>340</v>
      </c>
      <c r="F150" s="2" t="s">
        <v>1045</v>
      </c>
      <c r="G150" s="3" t="s">
        <v>3</v>
      </c>
      <c r="H150" s="3" t="s">
        <v>787</v>
      </c>
      <c r="I150" s="2" t="s">
        <v>480</v>
      </c>
      <c r="J150" s="2" t="s">
        <v>1046</v>
      </c>
      <c r="K150" s="2"/>
      <c r="L150" s="2"/>
      <c r="M150" s="2"/>
      <c r="N150" s="2"/>
      <c r="O150" s="2" t="s">
        <v>1047</v>
      </c>
      <c r="P150" s="3" t="s">
        <v>27</v>
      </c>
      <c r="Q150" s="2" t="s">
        <v>1048</v>
      </c>
    </row>
    <row r="151" spans="1:17" ht="32.1" customHeight="1">
      <c r="A151" s="3" t="s">
        <v>1049</v>
      </c>
      <c r="B151" s="2" t="s">
        <v>1050</v>
      </c>
      <c r="C151" s="2" t="s">
        <v>152</v>
      </c>
      <c r="D151" s="2" t="s">
        <v>41</v>
      </c>
      <c r="E151" s="2" t="s">
        <v>49</v>
      </c>
      <c r="F151" s="2" t="s">
        <v>573</v>
      </c>
      <c r="G151" s="3" t="s">
        <v>5</v>
      </c>
      <c r="H151" s="3" t="s">
        <v>787</v>
      </c>
      <c r="I151" s="2" t="s">
        <v>58</v>
      </c>
      <c r="J151" s="2" t="s">
        <v>1051</v>
      </c>
      <c r="K151" s="2" t="s">
        <v>1052</v>
      </c>
      <c r="L151" s="2" t="s">
        <v>1053</v>
      </c>
      <c r="M151" s="2" t="s">
        <v>1054</v>
      </c>
      <c r="N151" s="2" t="s">
        <v>63</v>
      </c>
      <c r="O151" s="2" t="s">
        <v>1055</v>
      </c>
      <c r="P151" s="3" t="s">
        <v>27</v>
      </c>
      <c r="Q151" s="2" t="s">
        <v>65</v>
      </c>
    </row>
  </sheetData>
  <conditionalFormatting sqref="A2:A151">
    <cfRule type="duplicateValues" dxfId="6" priority="1"/>
  </conditionalFormatting>
  <conditionalFormatting sqref="B2:B151">
    <cfRule type="duplicateValues" dxfId="5" priority="2"/>
  </conditionalFormatting>
  <conditionalFormatting sqref="P2:P151">
    <cfRule type="containsText" dxfId="4" priority="3" operator="containsText" text="Təsdiqlənib"/>
    <cfRule type="containsText" dxfId="3" priority="4" operator="containsText" text="Gözləyir"/>
    <cfRule type="containsText" dxfId="2" priority="5" operator="containsText" text="Rədd edilib"/>
  </conditionalFormatting>
  <dataValidations count="3">
    <dataValidation type="list" sqref="G2:G151" xr:uid="{00000000-0002-0000-0000-000000000000}">
      <formula1>"A,B,C,D"</formula1>
    </dataValidation>
    <dataValidation type="list" sqref="H2:H151" xr:uid="{00000000-0002-0000-0000-000001000000}">
      <formula1>"Easy,Medium,Hard"</formula1>
    </dataValidation>
    <dataValidation type="list" sqref="P2:P151" xr:uid="{00000000-0002-0000-0000-000002000000}">
      <formula1>"Gözləyir,Təsdiqlənib,Rədd edilib"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D161D"/>
  </sheetPr>
  <dimension ref="A1:D29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34" customWidth="1"/>
    <col min="2" max="4" width="15" customWidth="1"/>
  </cols>
  <sheetData>
    <row r="1" spans="1:4" ht="30" customHeight="1">
      <c r="A1" s="23" t="s">
        <v>1056</v>
      </c>
      <c r="B1" s="23"/>
      <c r="C1" s="23"/>
      <c r="D1" s="23"/>
    </row>
    <row r="3" spans="1:4" ht="26.1" customHeight="1">
      <c r="A3" s="4" t="s">
        <v>1057</v>
      </c>
      <c r="B3" s="4" t="s">
        <v>1058</v>
      </c>
      <c r="C3" s="4" t="s">
        <v>1059</v>
      </c>
      <c r="D3" s="4" t="s">
        <v>1060</v>
      </c>
    </row>
    <row r="4" spans="1:4" ht="24" customHeight="1">
      <c r="A4" s="5" t="s">
        <v>1061</v>
      </c>
      <c r="B4" s="9">
        <f>COUNTA(Questions!B2:B151)</f>
        <v>150</v>
      </c>
      <c r="C4" s="9">
        <v>150</v>
      </c>
      <c r="D4" s="10" t="str">
        <f t="shared" ref="D4:D20" si="0">IF(B4=C4,"OK","Yoxla")</f>
        <v>OK</v>
      </c>
    </row>
    <row r="5" spans="1:4" ht="24" customHeight="1">
      <c r="A5" s="6" t="s">
        <v>23</v>
      </c>
      <c r="B5" s="11">
        <f>COUNTIF(Questions!H2:H151,"Easy")</f>
        <v>45</v>
      </c>
      <c r="C5" s="11">
        <v>45</v>
      </c>
      <c r="D5" s="12" t="str">
        <f t="shared" si="0"/>
        <v>OK</v>
      </c>
    </row>
    <row r="6" spans="1:4" ht="24" customHeight="1">
      <c r="A6" s="6" t="s">
        <v>392</v>
      </c>
      <c r="B6" s="11">
        <f>COUNTIF(Questions!H2:H151,"Medium")</f>
        <v>60</v>
      </c>
      <c r="C6" s="11">
        <v>60</v>
      </c>
      <c r="D6" s="12" t="str">
        <f t="shared" si="0"/>
        <v>OK</v>
      </c>
    </row>
    <row r="7" spans="1:4" ht="24" customHeight="1">
      <c r="A7" s="6" t="s">
        <v>787</v>
      </c>
      <c r="B7" s="11">
        <f>COUNTIF(Questions!H2:H151,"Hard")</f>
        <v>45</v>
      </c>
      <c r="C7" s="11">
        <v>45</v>
      </c>
      <c r="D7" s="12" t="str">
        <f t="shared" si="0"/>
        <v>OK</v>
      </c>
    </row>
    <row r="8" spans="1:4" ht="24" customHeight="1">
      <c r="A8" s="6" t="s">
        <v>1062</v>
      </c>
      <c r="B8" s="11">
        <f>COUNTIF(Questions!K2:K151,"&lt;&gt;")</f>
        <v>30</v>
      </c>
      <c r="C8" s="11">
        <v>30</v>
      </c>
      <c r="D8" s="12" t="str">
        <f t="shared" si="0"/>
        <v>OK</v>
      </c>
    </row>
    <row r="9" spans="1:4" ht="24" customHeight="1">
      <c r="A9" s="6" t="s">
        <v>1063</v>
      </c>
      <c r="B9" s="11">
        <f>COUNTA(Questions!B2:B151)-COUNTIF(Questions!K2:K151,"&lt;&gt;")</f>
        <v>120</v>
      </c>
      <c r="C9" s="11">
        <v>120</v>
      </c>
      <c r="D9" s="12" t="str">
        <f t="shared" si="0"/>
        <v>OK</v>
      </c>
    </row>
    <row r="10" spans="1:4" ht="24" customHeight="1">
      <c r="A10" s="6" t="s">
        <v>1064</v>
      </c>
      <c r="B10" s="11">
        <f>COUNTIFS(Questions!H2:H151,"Easy",Questions!K2:K151,"&lt;&gt;")</f>
        <v>9</v>
      </c>
      <c r="C10" s="11">
        <v>9</v>
      </c>
      <c r="D10" s="12" t="str">
        <f t="shared" si="0"/>
        <v>OK</v>
      </c>
    </row>
    <row r="11" spans="1:4" ht="24" customHeight="1">
      <c r="A11" s="6" t="s">
        <v>1065</v>
      </c>
      <c r="B11" s="11">
        <f>COUNTIFS(Questions!H2:H151,"Medium",Questions!K2:K151,"&lt;&gt;")</f>
        <v>12</v>
      </c>
      <c r="C11" s="11">
        <v>12</v>
      </c>
      <c r="D11" s="12" t="str">
        <f t="shared" si="0"/>
        <v>OK</v>
      </c>
    </row>
    <row r="12" spans="1:4" ht="24" customHeight="1">
      <c r="A12" s="6" t="s">
        <v>1066</v>
      </c>
      <c r="B12" s="11">
        <f>COUNTIFS(Questions!H2:H151,"Hard",Questions!K2:K151,"&lt;&gt;")</f>
        <v>9</v>
      </c>
      <c r="C12" s="11">
        <v>9</v>
      </c>
      <c r="D12" s="12" t="str">
        <f t="shared" si="0"/>
        <v>OK</v>
      </c>
    </row>
    <row r="13" spans="1:4" ht="24" customHeight="1">
      <c r="A13" s="6" t="s">
        <v>1067</v>
      </c>
      <c r="B13" s="11">
        <f>COUNTIF(Questions!G2:G151,"A")</f>
        <v>38</v>
      </c>
      <c r="C13" s="11">
        <v>38</v>
      </c>
      <c r="D13" s="12" t="str">
        <f t="shared" si="0"/>
        <v>OK</v>
      </c>
    </row>
    <row r="14" spans="1:4" ht="24" customHeight="1">
      <c r="A14" s="6" t="s">
        <v>1068</v>
      </c>
      <c r="B14" s="11">
        <f>COUNTIF(Questions!G2:G151,"B")</f>
        <v>38</v>
      </c>
      <c r="C14" s="11">
        <v>38</v>
      </c>
      <c r="D14" s="12" t="str">
        <f t="shared" si="0"/>
        <v>OK</v>
      </c>
    </row>
    <row r="15" spans="1:4" ht="24" customHeight="1">
      <c r="A15" s="6" t="s">
        <v>1069</v>
      </c>
      <c r="B15" s="11">
        <f>COUNTIF(Questions!G2:G151,"C")</f>
        <v>37</v>
      </c>
      <c r="C15" s="11">
        <v>37</v>
      </c>
      <c r="D15" s="12" t="str">
        <f t="shared" si="0"/>
        <v>OK</v>
      </c>
    </row>
    <row r="16" spans="1:4" ht="24" customHeight="1">
      <c r="A16" s="6" t="s">
        <v>1070</v>
      </c>
      <c r="B16" s="11">
        <f>COUNTIF(Questions!G2:G151,"D")</f>
        <v>37</v>
      </c>
      <c r="C16" s="11">
        <v>37</v>
      </c>
      <c r="D16" s="12" t="str">
        <f t="shared" si="0"/>
        <v>OK</v>
      </c>
    </row>
    <row r="17" spans="1:4" ht="24" customHeight="1">
      <c r="A17" s="6" t="s">
        <v>1071</v>
      </c>
      <c r="B17" s="11">
        <f>COUNTA(Questions!B2:B151)-COUNTIF(Questions!O2:O151,"&lt;&gt;")</f>
        <v>0</v>
      </c>
      <c r="C17" s="11">
        <v>0</v>
      </c>
      <c r="D17" s="12" t="str">
        <f t="shared" si="0"/>
        <v>OK</v>
      </c>
    </row>
    <row r="18" spans="1:4" ht="24" customHeight="1">
      <c r="A18" s="6" t="s">
        <v>1072</v>
      </c>
      <c r="B18" s="11">
        <f>COUNTIF(Questions!K2:K151,"&lt;&gt;")-COUNTIFS(Questions!K2:K151,"&lt;&gt;",Questions!M2:M151,"&lt;&gt;")</f>
        <v>0</v>
      </c>
      <c r="C18" s="11">
        <v>0</v>
      </c>
      <c r="D18" s="12" t="str">
        <f t="shared" si="0"/>
        <v>OK</v>
      </c>
    </row>
    <row r="19" spans="1:4" ht="24" customHeight="1">
      <c r="A19" s="6" t="s">
        <v>1073</v>
      </c>
      <c r="B19" s="11">
        <f>COUNTIF(Questions!K2:K151,"&lt;&gt;")-COUNTIFS(Questions!K2:K151,"&lt;&gt;",Questions!N2:N151,"&lt;&gt;")</f>
        <v>0</v>
      </c>
      <c r="C19" s="11">
        <v>0</v>
      </c>
      <c r="D19" s="12" t="str">
        <f t="shared" si="0"/>
        <v>OK</v>
      </c>
    </row>
    <row r="20" spans="1:4" ht="24" customHeight="1">
      <c r="A20" s="7" t="s">
        <v>1074</v>
      </c>
      <c r="B20" s="13">
        <f>COUNTIF(Questions!K2:K151,"&lt;&gt;")-COUNTIFS(Questions!K2:K151,"&lt;&gt;",Questions!L2:L151,"&lt;&gt;")</f>
        <v>0</v>
      </c>
      <c r="C20" s="13">
        <v>0</v>
      </c>
      <c r="D20" s="14" t="str">
        <f t="shared" si="0"/>
        <v>OK</v>
      </c>
    </row>
    <row r="21" spans="1:4">
      <c r="B21" s="15"/>
      <c r="C21" s="15"/>
      <c r="D21" s="15"/>
    </row>
    <row r="22" spans="1:4">
      <c r="B22" s="15"/>
      <c r="C22" s="15"/>
      <c r="D22" s="15"/>
    </row>
    <row r="23" spans="1:4" ht="24" customHeight="1">
      <c r="A23" s="8" t="s">
        <v>1075</v>
      </c>
      <c r="B23" s="16">
        <f>COUNTIFS(Questions!B2:B151,"&lt;&gt;",Questions!P2:P151,"Gözləyir")</f>
        <v>0</v>
      </c>
      <c r="C23" s="15"/>
      <c r="D23" s="15"/>
    </row>
    <row r="24" spans="1:4" ht="24" customHeight="1">
      <c r="A24" s="8" t="s">
        <v>27</v>
      </c>
      <c r="B24" s="16">
        <f>COUNTIFS(Questions!B2:B151,"&lt;&gt;",Questions!P2:P151,"Təsdiqlənib")</f>
        <v>150</v>
      </c>
      <c r="C24" s="15"/>
      <c r="D24" s="15"/>
    </row>
    <row r="25" spans="1:4" ht="24" customHeight="1">
      <c r="A25" s="8" t="s">
        <v>1076</v>
      </c>
      <c r="B25" s="16">
        <f>COUNTIFS(Questions!B2:B151,"&lt;&gt;",Questions!P2:P151,"Rədd edilib")</f>
        <v>0</v>
      </c>
      <c r="C25" s="15"/>
      <c r="D25" s="15"/>
    </row>
    <row r="27" spans="1:4">
      <c r="A27" s="24" t="s">
        <v>1077</v>
      </c>
      <c r="B27" s="24"/>
      <c r="C27" s="24"/>
      <c r="D27" s="24"/>
    </row>
    <row r="28" spans="1:4">
      <c r="A28" s="24"/>
      <c r="B28" s="24"/>
      <c r="C28" s="24"/>
      <c r="D28" s="24"/>
    </row>
    <row r="29" spans="1:4">
      <c r="A29" s="24"/>
      <c r="B29" s="24"/>
      <c r="C29" s="24"/>
      <c r="D29" s="24"/>
    </row>
  </sheetData>
  <mergeCells count="2">
    <mergeCell ref="A1:D1"/>
    <mergeCell ref="A27:D29"/>
  </mergeCells>
  <conditionalFormatting sqref="D4:D20">
    <cfRule type="containsText" dxfId="1" priority="1" operator="containsText" text="OK"/>
    <cfRule type="containsText" dxfId="0" priority="2" operator="containsText" text="Yoxla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D77E"/>
  </sheetPr>
  <dimension ref="A1:F19"/>
  <sheetViews>
    <sheetView showGridLines="0" workbookViewId="0"/>
  </sheetViews>
  <sheetFormatPr defaultRowHeight="14.25"/>
  <cols>
    <col min="1" max="1" width="24" customWidth="1"/>
    <col min="2" max="2" width="92" customWidth="1"/>
  </cols>
  <sheetData>
    <row r="1" spans="1:6" ht="30" customHeight="1">
      <c r="A1" s="25" t="s">
        <v>1078</v>
      </c>
      <c r="B1" s="25"/>
      <c r="C1" s="25"/>
      <c r="D1" s="25"/>
      <c r="E1" s="25"/>
      <c r="F1" s="25"/>
    </row>
    <row r="3" spans="1:6" ht="26.1" customHeight="1">
      <c r="A3" s="4" t="s">
        <v>1079</v>
      </c>
      <c r="B3" s="4" t="s">
        <v>1080</v>
      </c>
    </row>
    <row r="4" spans="1:6" ht="33.950000000000003" customHeight="1">
      <c r="A4" s="17" t="s">
        <v>1081</v>
      </c>
      <c r="B4" s="18" t="s">
        <v>1082</v>
      </c>
    </row>
    <row r="5" spans="1:6" ht="33.950000000000003" customHeight="1">
      <c r="A5" s="19" t="s">
        <v>1083</v>
      </c>
      <c r="B5" s="20" t="s">
        <v>1084</v>
      </c>
    </row>
    <row r="6" spans="1:6" ht="33.950000000000003" customHeight="1">
      <c r="A6" s="19" t="s">
        <v>0</v>
      </c>
      <c r="B6" s="20" t="s">
        <v>1085</v>
      </c>
    </row>
    <row r="7" spans="1:6" ht="33.950000000000003" customHeight="1">
      <c r="A7" s="19" t="s">
        <v>6</v>
      </c>
      <c r="B7" s="20" t="s">
        <v>1086</v>
      </c>
    </row>
    <row r="8" spans="1:6" ht="33.950000000000003" customHeight="1">
      <c r="A8" s="19" t="s">
        <v>7</v>
      </c>
      <c r="B8" s="20" t="s">
        <v>1087</v>
      </c>
    </row>
    <row r="9" spans="1:6" ht="33.950000000000003" customHeight="1">
      <c r="A9" s="19" t="s">
        <v>15</v>
      </c>
      <c r="B9" s="20" t="s">
        <v>1088</v>
      </c>
    </row>
    <row r="10" spans="1:6" ht="33.950000000000003" customHeight="1">
      <c r="A10" s="19" t="s">
        <v>1089</v>
      </c>
      <c r="B10" s="20" t="s">
        <v>1090</v>
      </c>
    </row>
    <row r="11" spans="1:6" ht="33.950000000000003" customHeight="1">
      <c r="A11" s="19" t="s">
        <v>1091</v>
      </c>
      <c r="B11" s="20" t="s">
        <v>1092</v>
      </c>
    </row>
    <row r="12" spans="1:6" ht="33.950000000000003" customHeight="1">
      <c r="A12" s="19" t="s">
        <v>1093</v>
      </c>
      <c r="B12" s="20" t="s">
        <v>1094</v>
      </c>
    </row>
    <row r="13" spans="1:6" ht="33.950000000000003" customHeight="1">
      <c r="A13" s="19" t="s">
        <v>1095</v>
      </c>
      <c r="B13" s="20" t="s">
        <v>1096</v>
      </c>
    </row>
    <row r="14" spans="1:6" ht="33.950000000000003" customHeight="1">
      <c r="A14" s="19" t="s">
        <v>1097</v>
      </c>
      <c r="B14" s="20" t="s">
        <v>1098</v>
      </c>
    </row>
    <row r="15" spans="1:6" ht="33.950000000000003" customHeight="1">
      <c r="A15" s="19" t="s">
        <v>12</v>
      </c>
      <c r="B15" s="20" t="s">
        <v>1099</v>
      </c>
    </row>
    <row r="16" spans="1:6" ht="33.950000000000003" customHeight="1">
      <c r="A16" s="19" t="s">
        <v>1063</v>
      </c>
      <c r="B16" s="20" t="s">
        <v>1100</v>
      </c>
    </row>
    <row r="17" spans="1:2" ht="33.950000000000003" customHeight="1">
      <c r="A17" s="19" t="s">
        <v>1101</v>
      </c>
      <c r="B17" s="20" t="s">
        <v>1102</v>
      </c>
    </row>
    <row r="18" spans="1:2" ht="33.950000000000003" customHeight="1">
      <c r="A18" s="19" t="s">
        <v>1103</v>
      </c>
      <c r="B18" s="20" t="s">
        <v>1104</v>
      </c>
    </row>
    <row r="19" spans="1:2" ht="33.950000000000003" customHeight="1">
      <c r="A19" s="21" t="s">
        <v>1105</v>
      </c>
      <c r="B19" s="22" t="s">
        <v>1106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Questions</vt:lpstr>
      <vt:lpstr>Yoxlama</vt:lpstr>
      <vt:lpstr>Təlimat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2026-09-16T09:44:58Z</dcterms:modified>
</cp:coreProperties>
</file>